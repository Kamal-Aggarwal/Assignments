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Top Mentor\27July\"/>
    </mc:Choice>
  </mc:AlternateContent>
  <xr:revisionPtr revIDLastSave="0" documentId="13_ncr:1_{D53F1AA3-0CD6-400B-A4C9-C9B325048034}" xr6:coauthVersionLast="47" xr6:coauthVersionMax="47" xr10:uidLastSave="{00000000-0000-0000-0000-000000000000}"/>
  <bookViews>
    <workbookView xWindow="-110" yWindow="-110" windowWidth="19420" windowHeight="11020" activeTab="1" xr2:uid="{00000000-000D-0000-FFFF-FFFF00000000}"/>
  </bookViews>
  <sheets>
    <sheet name="Data" sheetId="1" r:id="rId1"/>
    <sheet name="Pivot Data" sheetId="2" r:id="rId2"/>
  </sheets>
  <definedNames>
    <definedName name="Slicer_Gender">#N/A</definedName>
  </definedNames>
  <calcPr calcId="191029"/>
  <pivotCaches>
    <pivotCache cacheId="13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1" l="1"/>
  <c r="E4" i="1"/>
  <c r="E5" i="1"/>
  <c r="E6" i="1"/>
  <c r="E7" i="1"/>
  <c r="E2" i="1"/>
</calcChain>
</file>

<file path=xl/sharedStrings.xml><?xml version="1.0" encoding="utf-8"?>
<sst xmlns="http://schemas.openxmlformats.org/spreadsheetml/2006/main" count="290" uniqueCount="81">
  <si>
    <t>Name</t>
  </si>
  <si>
    <t>Gender</t>
  </si>
  <si>
    <t>Age Group (years)</t>
  </si>
  <si>
    <t>Occupation</t>
  </si>
  <si>
    <t>Screen Time spent on devices</t>
  </si>
  <si>
    <t>Screen Time for Work or Study (Hours)</t>
  </si>
  <si>
    <t>Screen Time for Entertainment (TV, Youtube etc.)</t>
  </si>
  <si>
    <t>Screen Time for Social Media (Facebook, WhatsApp etc.)</t>
  </si>
  <si>
    <t xml:space="preserve">Screen Time for Gaming </t>
  </si>
  <si>
    <t xml:space="preserve">What do you miss because of screen time? </t>
  </si>
  <si>
    <t>Kamal Aggarwal</t>
  </si>
  <si>
    <t>Male</t>
  </si>
  <si>
    <t>31 - 50</t>
  </si>
  <si>
    <t>Working (Salaried)</t>
  </si>
  <si>
    <t>Mobile, Laptop, TV</t>
  </si>
  <si>
    <t>Yes</t>
  </si>
  <si>
    <t>Maybe</t>
  </si>
  <si>
    <t>Outdoor activities</t>
  </si>
  <si>
    <t xml:space="preserve">Chhaya </t>
  </si>
  <si>
    <t>Female</t>
  </si>
  <si>
    <t>Not working</t>
  </si>
  <si>
    <t>Mobile</t>
  </si>
  <si>
    <t>No</t>
  </si>
  <si>
    <t>NA</t>
  </si>
  <si>
    <t>Aayush Aggarwal</t>
  </si>
  <si>
    <t>6 - 10</t>
  </si>
  <si>
    <t>School</t>
  </si>
  <si>
    <t>Study time</t>
  </si>
  <si>
    <t>Arnika Aggarwal</t>
  </si>
  <si>
    <t>0 - 5</t>
  </si>
  <si>
    <t>Mobile, TV</t>
  </si>
  <si>
    <t>Play and Sleep time</t>
  </si>
  <si>
    <t>Lavanya</t>
  </si>
  <si>
    <t>Laptop</t>
  </si>
  <si>
    <t xml:space="preserve">Nothing </t>
  </si>
  <si>
    <t xml:space="preserve">Bhavya </t>
  </si>
  <si>
    <t xml:space="preserve">K Somasundaram </t>
  </si>
  <si>
    <t>Good sleep</t>
  </si>
  <si>
    <t xml:space="preserve">Arti Tekchandani </t>
  </si>
  <si>
    <t>Mobile, Laptop</t>
  </si>
  <si>
    <t xml:space="preserve">Family time sometimes </t>
  </si>
  <si>
    <t xml:space="preserve">Omprakash Tekchandani </t>
  </si>
  <si>
    <t>Family time</t>
  </si>
  <si>
    <t xml:space="preserve">Dhiren Tekchandani </t>
  </si>
  <si>
    <t>11 - 18</t>
  </si>
  <si>
    <t>College</t>
  </si>
  <si>
    <t>Laptop, TV</t>
  </si>
  <si>
    <t>Family tome</t>
  </si>
  <si>
    <t>MK</t>
  </si>
  <si>
    <t>65+</t>
  </si>
  <si>
    <t>Retired</t>
  </si>
  <si>
    <t>Salochana</t>
  </si>
  <si>
    <t>Kavin</t>
  </si>
  <si>
    <t>Studies</t>
  </si>
  <si>
    <t>Deepika</t>
  </si>
  <si>
    <t>Sandeep</t>
  </si>
  <si>
    <t>Mohit</t>
  </si>
  <si>
    <t>Working (Self Employed / Business)</t>
  </si>
  <si>
    <t>Sulabh</t>
  </si>
  <si>
    <t>Avika</t>
  </si>
  <si>
    <t>Aadhya</t>
  </si>
  <si>
    <t>Nivan</t>
  </si>
  <si>
    <t>Navita</t>
  </si>
  <si>
    <t>Divya</t>
  </si>
  <si>
    <t>Screen Time per day (Hours)</t>
  </si>
  <si>
    <t xml:space="preserve">Screen time after 9 PM? </t>
  </si>
  <si>
    <t xml:space="preserve">Screen time is too much? </t>
  </si>
  <si>
    <t xml:space="preserve">Sleep affected? </t>
  </si>
  <si>
    <t xml:space="preserve">Want to reduce screen time? </t>
  </si>
  <si>
    <t>Grand Total</t>
  </si>
  <si>
    <t>Age Group</t>
  </si>
  <si>
    <t>People with Screen time after 9 PM</t>
  </si>
  <si>
    <t>People having sleep effected</t>
  </si>
  <si>
    <t>Work or Study Screen Time (Hours)</t>
  </si>
  <si>
    <t xml:space="preserve"> Entertainment Screen Time</t>
  </si>
  <si>
    <t>Devices Used</t>
  </si>
  <si>
    <t>(Multiple Items)</t>
  </si>
  <si>
    <t>Average Screen Time per day for Age Group</t>
  </si>
  <si>
    <t>Screen Time Average(Hours)</t>
  </si>
  <si>
    <t>Count</t>
  </si>
  <si>
    <t>Total Screen Time per day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</si>
</sst>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9"/>
      <color theme="1"/>
      <name val="Arial"/>
      <family val="2"/>
      <scheme val="minor"/>
    </font>
    <font>
      <sz val="8"/>
      <color rgb="FF000000"/>
      <name val="Arial"/>
      <family val="2"/>
      <scheme val="minor"/>
    </font>
    <font>
      <b/>
      <sz val="8"/>
      <color rgb="FF000000"/>
      <name val="Arial"/>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vertical="center"/>
    </xf>
    <xf numFmtId="0" fontId="1" fillId="0" borderId="1"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2" fillId="0" borderId="0" xfId="0" applyFont="1"/>
    <xf numFmtId="0" fontId="3" fillId="0" borderId="1" xfId="0" pivotButton="1" applyFont="1" applyBorder="1"/>
    <xf numFmtId="0" fontId="2" fillId="0" borderId="1" xfId="0" applyFont="1" applyBorder="1"/>
    <xf numFmtId="0" fontId="3" fillId="0" borderId="1" xfId="0" applyFont="1" applyBorder="1"/>
    <xf numFmtId="0" fontId="2" fillId="0" borderId="1" xfId="0" applyFont="1" applyBorder="1" applyAlignment="1">
      <alignment horizontal="left"/>
    </xf>
    <xf numFmtId="2" fontId="2" fillId="0" borderId="1" xfId="0" applyNumberFormat="1" applyFont="1" applyBorder="1"/>
    <xf numFmtId="0" fontId="2" fillId="0" borderId="1" xfId="0" pivotButton="1" applyFont="1" applyBorder="1"/>
    <xf numFmtId="0" fontId="3" fillId="2" borderId="10" xfId="0" applyFont="1" applyFill="1" applyBorder="1" applyAlignment="1">
      <alignment horizontal="center"/>
    </xf>
    <xf numFmtId="0" fontId="2" fillId="0" borderId="1" xfId="0" applyNumberFormat="1" applyFont="1" applyBorder="1"/>
    <xf numFmtId="0" fontId="3" fillId="0" borderId="0" xfId="0" applyFont="1"/>
  </cellXfs>
  <cellStyles count="1">
    <cellStyle name="Normal" xfId="0" builtinId="0"/>
  </cellStyles>
  <dxfs count="174">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8"/>
      </font>
    </dxf>
    <dxf>
      <font>
        <sz val="8"/>
      </font>
    </dxf>
    <dxf>
      <font>
        <sz val="8"/>
      </font>
    </dxf>
    <dxf>
      <font>
        <sz val="8"/>
      </font>
    </dxf>
    <dxf>
      <font>
        <sz val="8"/>
      </font>
    </dxf>
    <dxf>
      <font>
        <sz val="8"/>
      </font>
    </dxf>
    <dxf>
      <font>
        <b/>
      </font>
    </dxf>
    <dxf>
      <font>
        <b/>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8"/>
      </font>
    </dxf>
    <dxf>
      <font>
        <sz val="8"/>
      </font>
    </dxf>
    <dxf>
      <font>
        <sz val="8"/>
      </font>
    </dxf>
    <dxf>
      <font>
        <sz val="8"/>
      </font>
    </dxf>
    <dxf>
      <font>
        <sz val="8"/>
      </font>
    </dxf>
    <dxf>
      <font>
        <sz val="8"/>
      </font>
    </dxf>
    <dxf>
      <font>
        <b/>
      </font>
    </dxf>
    <dxf>
      <font>
        <b val="0"/>
      </font>
    </dxf>
    <dxf>
      <font>
        <b/>
      </font>
    </dxf>
    <dxf>
      <font>
        <b/>
      </font>
    </dxf>
    <dxf>
      <font>
        <b/>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b/>
      </font>
    </dxf>
    <dxf>
      <font>
        <b/>
      </font>
    </dxf>
    <dxf>
      <font>
        <b/>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b/>
      </font>
    </dxf>
    <dxf>
      <font>
        <b/>
      </font>
    </dxf>
    <dxf>
      <font>
        <b/>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ont>
    </dxf>
    <dxf>
      <font>
        <b/>
      </font>
    </dxf>
    <dxf>
      <font>
        <b/>
      </font>
    </dxf>
    <dxf>
      <font>
        <b/>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sz val="8"/>
      </font>
    </dxf>
    <dxf>
      <font>
        <sz val="8"/>
      </font>
    </dxf>
    <dxf>
      <font>
        <sz val="8"/>
      </font>
    </dxf>
    <dxf>
      <font>
        <sz val="8"/>
      </font>
    </dxf>
    <dxf>
      <font>
        <sz val="8"/>
      </font>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b/>
        <family val="2"/>
      </font>
    </dxf>
    <dxf>
      <font>
        <b/>
        <family val="2"/>
      </font>
    </dxf>
    <dxf>
      <numFmt numFmtId="2" formatCode="0.00"/>
    </dxf>
    <dxf>
      <font>
        <strike val="0"/>
        <outline val="0"/>
        <shadow val="0"/>
        <u val="none"/>
        <vertAlign val="baseline"/>
        <sz val="9"/>
        <color theme="1"/>
        <name val="Arial"/>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Arial"/>
        <scheme val="minor"/>
      </font>
    </dxf>
    <dxf>
      <border>
        <bottom style="thin">
          <color indexed="64"/>
        </bottom>
      </border>
    </dxf>
    <dxf>
      <font>
        <strike val="0"/>
        <outline val="0"/>
        <shadow val="0"/>
        <u val="none"/>
        <vertAlign val="baseline"/>
        <sz val="9"/>
        <color theme="1"/>
        <name val="Arial"/>
        <scheme val="minor"/>
      </font>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173"/>
      <tableStyleElement type="firstRowStripe" dxfId="172"/>
      <tableStyleElement type="secondRowStripe" dxfId="17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1_Screen Time Habits.xlsx]Pivot Data!PivotTable1</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Average</a:t>
            </a:r>
            <a:r>
              <a:rPr lang="en-IN" sz="1200" b="1" baseline="0"/>
              <a:t> Screen Time per day for Age Group</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Data'!$A$4:$A$9</c:f>
              <c:strCache>
                <c:ptCount val="5"/>
                <c:pt idx="0">
                  <c:v>0 - 5</c:v>
                </c:pt>
                <c:pt idx="1">
                  <c:v>6 - 10</c:v>
                </c:pt>
                <c:pt idx="2">
                  <c:v>11 - 18</c:v>
                </c:pt>
                <c:pt idx="3">
                  <c:v>31 - 50</c:v>
                </c:pt>
                <c:pt idx="4">
                  <c:v>65+</c:v>
                </c:pt>
              </c:strCache>
            </c:strRef>
          </c:cat>
          <c:val>
            <c:numRef>
              <c:f>'Pivot Data'!$B$4:$B$9</c:f>
              <c:numCache>
                <c:formatCode>0.00</c:formatCode>
                <c:ptCount val="5"/>
                <c:pt idx="0">
                  <c:v>3.75</c:v>
                </c:pt>
                <c:pt idx="1">
                  <c:v>3</c:v>
                </c:pt>
                <c:pt idx="2">
                  <c:v>8</c:v>
                </c:pt>
                <c:pt idx="3">
                  <c:v>7.0384615384615383</c:v>
                </c:pt>
                <c:pt idx="4">
                  <c:v>3</c:v>
                </c:pt>
              </c:numCache>
            </c:numRef>
          </c:val>
          <c:extLst>
            <c:ext xmlns:c16="http://schemas.microsoft.com/office/drawing/2014/chart" uri="{C3380CC4-5D6E-409C-BE32-E72D297353CC}">
              <c16:uniqueId val="{00000000-AD88-46A0-9F49-73D9C30AB604}"/>
            </c:ext>
          </c:extLst>
        </c:ser>
        <c:dLbls>
          <c:showLegendKey val="0"/>
          <c:showVal val="0"/>
          <c:showCatName val="0"/>
          <c:showSerName val="0"/>
          <c:showPercent val="0"/>
          <c:showBubbleSize val="0"/>
        </c:dLbls>
        <c:gapWidth val="219"/>
        <c:overlap val="-27"/>
        <c:axId val="418553151"/>
        <c:axId val="418552191"/>
      </c:barChart>
      <c:catAx>
        <c:axId val="4185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52191"/>
        <c:crosses val="autoZero"/>
        <c:auto val="1"/>
        <c:lblAlgn val="ctr"/>
        <c:lblOffset val="100"/>
        <c:noMultiLvlLbl val="0"/>
      </c:catAx>
      <c:valAx>
        <c:axId val="418552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1_Screen Time Habits.xlsx]Pivot Data!PivotTable5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Devices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Data'!$B$22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Data'!$A$23:$A$29</c:f>
              <c:strCache>
                <c:ptCount val="6"/>
                <c:pt idx="0">
                  <c:v>Laptop</c:v>
                </c:pt>
                <c:pt idx="1">
                  <c:v>Laptop, TV</c:v>
                </c:pt>
                <c:pt idx="2">
                  <c:v>Mobile</c:v>
                </c:pt>
                <c:pt idx="3">
                  <c:v>Mobile, Laptop</c:v>
                </c:pt>
                <c:pt idx="4">
                  <c:v>Mobile, Laptop, TV</c:v>
                </c:pt>
                <c:pt idx="5">
                  <c:v>Mobile, TV</c:v>
                </c:pt>
              </c:strCache>
            </c:strRef>
          </c:cat>
          <c:val>
            <c:numRef>
              <c:f>'Pivot Data'!$B$23:$B$29</c:f>
              <c:numCache>
                <c:formatCode>General</c:formatCode>
                <c:ptCount val="6"/>
                <c:pt idx="0">
                  <c:v>2</c:v>
                </c:pt>
                <c:pt idx="1">
                  <c:v>1</c:v>
                </c:pt>
                <c:pt idx="2">
                  <c:v>1</c:v>
                </c:pt>
                <c:pt idx="3">
                  <c:v>2</c:v>
                </c:pt>
                <c:pt idx="4">
                  <c:v>4</c:v>
                </c:pt>
                <c:pt idx="5">
                  <c:v>12</c:v>
                </c:pt>
              </c:numCache>
            </c:numRef>
          </c:val>
          <c:extLst>
            <c:ext xmlns:c16="http://schemas.microsoft.com/office/drawing/2014/chart" uri="{C3380CC4-5D6E-409C-BE32-E72D297353CC}">
              <c16:uniqueId val="{00000000-ABE9-4D11-A3EA-A8252AAABB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1_Screen Time Habits.xlsx]Pivot Data!PivotTable4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Data'!$H$14</c:f>
              <c:strCache>
                <c:ptCount val="1"/>
                <c:pt idx="0">
                  <c:v>Work or Study Screen Time (Hours)</c:v>
                </c:pt>
              </c:strCache>
            </c:strRef>
          </c:tx>
          <c:spPr>
            <a:solidFill>
              <a:schemeClr val="accent1"/>
            </a:solidFill>
            <a:ln>
              <a:noFill/>
            </a:ln>
            <a:effectLst/>
          </c:spPr>
          <c:invertIfNegative val="0"/>
          <c:cat>
            <c:strRef>
              <c:f>'Pivot Data'!$G$15:$G$20</c:f>
              <c:strCache>
                <c:ptCount val="5"/>
                <c:pt idx="0">
                  <c:v>0 - 5</c:v>
                </c:pt>
                <c:pt idx="1">
                  <c:v>6 - 10</c:v>
                </c:pt>
                <c:pt idx="2">
                  <c:v>11 - 18</c:v>
                </c:pt>
                <c:pt idx="3">
                  <c:v>31 - 50</c:v>
                </c:pt>
                <c:pt idx="4">
                  <c:v>65+</c:v>
                </c:pt>
              </c:strCache>
            </c:strRef>
          </c:cat>
          <c:val>
            <c:numRef>
              <c:f>'Pivot Data'!$H$15:$H$20</c:f>
              <c:numCache>
                <c:formatCode>General</c:formatCode>
                <c:ptCount val="5"/>
                <c:pt idx="0">
                  <c:v>0</c:v>
                </c:pt>
                <c:pt idx="1">
                  <c:v>1</c:v>
                </c:pt>
                <c:pt idx="2">
                  <c:v>12</c:v>
                </c:pt>
                <c:pt idx="3">
                  <c:v>57.5</c:v>
                </c:pt>
                <c:pt idx="4">
                  <c:v>0</c:v>
                </c:pt>
              </c:numCache>
            </c:numRef>
          </c:val>
          <c:extLst>
            <c:ext xmlns:c16="http://schemas.microsoft.com/office/drawing/2014/chart" uri="{C3380CC4-5D6E-409C-BE32-E72D297353CC}">
              <c16:uniqueId val="{00000000-D99D-4467-BDE6-F26E4E17E174}"/>
            </c:ext>
          </c:extLst>
        </c:ser>
        <c:ser>
          <c:idx val="1"/>
          <c:order val="1"/>
          <c:tx>
            <c:strRef>
              <c:f>'Pivot Data'!$I$14</c:f>
              <c:strCache>
                <c:ptCount val="1"/>
                <c:pt idx="0">
                  <c:v> Entertainment Screen Time</c:v>
                </c:pt>
              </c:strCache>
            </c:strRef>
          </c:tx>
          <c:spPr>
            <a:solidFill>
              <a:schemeClr val="accent2"/>
            </a:solidFill>
            <a:ln>
              <a:noFill/>
            </a:ln>
            <a:effectLst/>
          </c:spPr>
          <c:invertIfNegative val="0"/>
          <c:cat>
            <c:strRef>
              <c:f>'Pivot Data'!$G$15:$G$20</c:f>
              <c:strCache>
                <c:ptCount val="5"/>
                <c:pt idx="0">
                  <c:v>0 - 5</c:v>
                </c:pt>
                <c:pt idx="1">
                  <c:v>6 - 10</c:v>
                </c:pt>
                <c:pt idx="2">
                  <c:v>11 - 18</c:v>
                </c:pt>
                <c:pt idx="3">
                  <c:v>31 - 50</c:v>
                </c:pt>
                <c:pt idx="4">
                  <c:v>65+</c:v>
                </c:pt>
              </c:strCache>
            </c:strRef>
          </c:cat>
          <c:val>
            <c:numRef>
              <c:f>'Pivot Data'!$I$15:$I$20</c:f>
              <c:numCache>
                <c:formatCode>General</c:formatCode>
                <c:ptCount val="5"/>
                <c:pt idx="0">
                  <c:v>6.5</c:v>
                </c:pt>
                <c:pt idx="1">
                  <c:v>7</c:v>
                </c:pt>
                <c:pt idx="2">
                  <c:v>2</c:v>
                </c:pt>
                <c:pt idx="3">
                  <c:v>11</c:v>
                </c:pt>
                <c:pt idx="4">
                  <c:v>2</c:v>
                </c:pt>
              </c:numCache>
            </c:numRef>
          </c:val>
          <c:extLst>
            <c:ext xmlns:c16="http://schemas.microsoft.com/office/drawing/2014/chart" uri="{C3380CC4-5D6E-409C-BE32-E72D297353CC}">
              <c16:uniqueId val="{00000001-D99D-4467-BDE6-F26E4E17E174}"/>
            </c:ext>
          </c:extLst>
        </c:ser>
        <c:dLbls>
          <c:showLegendKey val="0"/>
          <c:showVal val="0"/>
          <c:showCatName val="0"/>
          <c:showSerName val="0"/>
          <c:showPercent val="0"/>
          <c:showBubbleSize val="0"/>
        </c:dLbls>
        <c:gapWidth val="219"/>
        <c:overlap val="-27"/>
        <c:axId val="418584831"/>
        <c:axId val="418573311"/>
      </c:barChart>
      <c:catAx>
        <c:axId val="4185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73311"/>
        <c:crosses val="autoZero"/>
        <c:auto val="1"/>
        <c:lblAlgn val="ctr"/>
        <c:lblOffset val="100"/>
        <c:noMultiLvlLbl val="0"/>
      </c:catAx>
      <c:valAx>
        <c:axId val="4185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8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Screen</a:t>
            </a:r>
            <a:r>
              <a:rPr lang="en-IN" baseline="0"/>
              <a:t>  Time vs Sleep Impact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Data'!$L$3</c:f>
              <c:strCache>
                <c:ptCount val="1"/>
                <c:pt idx="0">
                  <c:v>People having sleep effected</c:v>
                </c:pt>
              </c:strCache>
            </c:strRef>
          </c:tx>
          <c:spPr>
            <a:ln w="19050" cap="rnd">
              <a:noFill/>
              <a:round/>
            </a:ln>
            <a:effectLst/>
          </c:spPr>
          <c:marker>
            <c:symbol val="circle"/>
            <c:size val="5"/>
            <c:spPr>
              <a:solidFill>
                <a:schemeClr val="accent1"/>
              </a:solidFill>
              <a:ln w="9525">
                <a:solidFill>
                  <a:schemeClr val="accent1"/>
                </a:solidFill>
              </a:ln>
              <a:effectLst/>
            </c:spPr>
          </c:marker>
          <c:xVal>
            <c:strRef>
              <c:f>'Pivot Data'!$K$4:$K$7</c:f>
              <c:strCache>
                <c:ptCount val="4"/>
                <c:pt idx="0">
                  <c:v>0 - 5</c:v>
                </c:pt>
                <c:pt idx="1">
                  <c:v>6 - 10</c:v>
                </c:pt>
                <c:pt idx="2">
                  <c:v>11 - 18</c:v>
                </c:pt>
                <c:pt idx="3">
                  <c:v>31 - 50</c:v>
                </c:pt>
              </c:strCache>
            </c:strRef>
          </c:xVal>
          <c:yVal>
            <c:numRef>
              <c:f>'Pivot Data'!$L$4:$L$7</c:f>
              <c:numCache>
                <c:formatCode>General</c:formatCode>
                <c:ptCount val="4"/>
                <c:pt idx="0">
                  <c:v>2</c:v>
                </c:pt>
                <c:pt idx="1">
                  <c:v>3</c:v>
                </c:pt>
                <c:pt idx="2">
                  <c:v>1</c:v>
                </c:pt>
                <c:pt idx="3">
                  <c:v>6</c:v>
                </c:pt>
              </c:numCache>
            </c:numRef>
          </c:yVal>
          <c:smooth val="0"/>
          <c:extLst>
            <c:ext xmlns:c16="http://schemas.microsoft.com/office/drawing/2014/chart" uri="{C3380CC4-5D6E-409C-BE32-E72D297353CC}">
              <c16:uniqueId val="{00000000-2737-4390-88F9-0533DB7C8907}"/>
            </c:ext>
          </c:extLst>
        </c:ser>
        <c:ser>
          <c:idx val="1"/>
          <c:order val="1"/>
          <c:tx>
            <c:strRef>
              <c:f>'Pivot Data'!$M$3</c:f>
              <c:strCache>
                <c:ptCount val="1"/>
                <c:pt idx="0">
                  <c:v>Total Screen Time per day (Hours)</c:v>
                </c:pt>
              </c:strCache>
            </c:strRef>
          </c:tx>
          <c:spPr>
            <a:ln w="19050" cap="rnd">
              <a:noFill/>
              <a:round/>
            </a:ln>
            <a:effectLst/>
          </c:spPr>
          <c:marker>
            <c:symbol val="circle"/>
            <c:size val="5"/>
            <c:spPr>
              <a:solidFill>
                <a:schemeClr val="accent2"/>
              </a:solidFill>
              <a:ln w="9525">
                <a:solidFill>
                  <a:schemeClr val="accent2"/>
                </a:solidFill>
              </a:ln>
              <a:effectLst/>
            </c:spPr>
          </c:marker>
          <c:xVal>
            <c:strRef>
              <c:f>'Pivot Data'!$K$4:$K$7</c:f>
              <c:strCache>
                <c:ptCount val="4"/>
                <c:pt idx="0">
                  <c:v>0 - 5</c:v>
                </c:pt>
                <c:pt idx="1">
                  <c:v>6 - 10</c:v>
                </c:pt>
                <c:pt idx="2">
                  <c:v>11 - 18</c:v>
                </c:pt>
                <c:pt idx="3">
                  <c:v>31 - 50</c:v>
                </c:pt>
              </c:strCache>
            </c:strRef>
          </c:xVal>
          <c:yVal>
            <c:numRef>
              <c:f>'Pivot Data'!$M$4:$M$7</c:f>
              <c:numCache>
                <c:formatCode>General</c:formatCode>
                <c:ptCount val="4"/>
                <c:pt idx="0">
                  <c:v>7.5</c:v>
                </c:pt>
                <c:pt idx="1">
                  <c:v>9</c:v>
                </c:pt>
                <c:pt idx="2">
                  <c:v>14</c:v>
                </c:pt>
                <c:pt idx="3">
                  <c:v>62</c:v>
                </c:pt>
              </c:numCache>
            </c:numRef>
          </c:yVal>
          <c:smooth val="0"/>
          <c:extLst>
            <c:ext xmlns:c16="http://schemas.microsoft.com/office/drawing/2014/chart" uri="{C3380CC4-5D6E-409C-BE32-E72D297353CC}">
              <c16:uniqueId val="{00000001-2737-4390-88F9-0533DB7C8907}"/>
            </c:ext>
          </c:extLst>
        </c:ser>
        <c:dLbls>
          <c:showLegendKey val="0"/>
          <c:showVal val="0"/>
          <c:showCatName val="0"/>
          <c:showSerName val="0"/>
          <c:showPercent val="0"/>
          <c:showBubbleSize val="0"/>
        </c:dLbls>
        <c:axId val="418565631"/>
        <c:axId val="418582911"/>
      </c:scatterChart>
      <c:valAx>
        <c:axId val="4185656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82911"/>
        <c:crosses val="autoZero"/>
        <c:crossBetween val="midCat"/>
      </c:valAx>
      <c:valAx>
        <c:axId val="41858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65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222250</xdr:colOff>
      <xdr:row>2</xdr:row>
      <xdr:rowOff>31750</xdr:rowOff>
    </xdr:from>
    <xdr:to>
      <xdr:col>4</xdr:col>
      <xdr:colOff>882651</xdr:colOff>
      <xdr:row>10</xdr:row>
      <xdr:rowOff>120649</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B9BDB137-9E7B-D677-0DA9-7EF7179615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71688" y="301625"/>
              <a:ext cx="1827213" cy="1112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472281</xdr:colOff>
      <xdr:row>25</xdr:row>
      <xdr:rowOff>73025</xdr:rowOff>
    </xdr:from>
    <xdr:to>
      <xdr:col>7</xdr:col>
      <xdr:colOff>678656</xdr:colOff>
      <xdr:row>47</xdr:row>
      <xdr:rowOff>14288</xdr:rowOff>
    </xdr:to>
    <xdr:graphicFrame macro="">
      <xdr:nvGraphicFramePr>
        <xdr:cNvPr id="4" name="Chart 3">
          <a:extLst>
            <a:ext uri="{FF2B5EF4-FFF2-40B4-BE49-F238E27FC236}">
              <a16:creationId xmlns:a16="http://schemas.microsoft.com/office/drawing/2014/main" id="{03E881E3-7DCC-833A-F8E7-EBE9CEEA5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1004093</xdr:colOff>
      <xdr:row>25</xdr:row>
      <xdr:rowOff>88900</xdr:rowOff>
    </xdr:from>
    <xdr:to>
      <xdr:col>12</xdr:col>
      <xdr:colOff>250030</xdr:colOff>
      <xdr:row>47</xdr:row>
      <xdr:rowOff>38100</xdr:rowOff>
    </xdr:to>
    <xdr:graphicFrame macro="">
      <xdr:nvGraphicFramePr>
        <xdr:cNvPr id="5" name="Chart 4">
          <a:extLst>
            <a:ext uri="{FF2B5EF4-FFF2-40B4-BE49-F238E27FC236}">
              <a16:creationId xmlns:a16="http://schemas.microsoft.com/office/drawing/2014/main" id="{A044B058-4B3B-07C8-1202-F6BC46173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480218</xdr:colOff>
      <xdr:row>47</xdr:row>
      <xdr:rowOff>112713</xdr:rowOff>
    </xdr:from>
    <xdr:to>
      <xdr:col>8</xdr:col>
      <xdr:colOff>436563</xdr:colOff>
      <xdr:row>77</xdr:row>
      <xdr:rowOff>55563</xdr:rowOff>
    </xdr:to>
    <xdr:graphicFrame macro="">
      <xdr:nvGraphicFramePr>
        <xdr:cNvPr id="6" name="Chart 5">
          <a:extLst>
            <a:ext uri="{FF2B5EF4-FFF2-40B4-BE49-F238E27FC236}">
              <a16:creationId xmlns:a16="http://schemas.microsoft.com/office/drawing/2014/main" id="{9BAC0EC4-DBD2-F9A4-4E79-7F9FEEC8C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583406</xdr:colOff>
      <xdr:row>9</xdr:row>
      <xdr:rowOff>17462</xdr:rowOff>
    </xdr:from>
    <xdr:to>
      <xdr:col>14</xdr:col>
      <xdr:colOff>321468</xdr:colOff>
      <xdr:row>24</xdr:row>
      <xdr:rowOff>111125</xdr:rowOff>
    </xdr:to>
    <xdr:graphicFrame macro="">
      <xdr:nvGraphicFramePr>
        <xdr:cNvPr id="7" name="Chart 6">
          <a:extLst>
            <a:ext uri="{FF2B5EF4-FFF2-40B4-BE49-F238E27FC236}">
              <a16:creationId xmlns:a16="http://schemas.microsoft.com/office/drawing/2014/main" id="{8981D983-C522-4A34-DBA4-075E53C75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3.577437499996" createdVersion="8" refreshedVersion="8" minRefreshableVersion="3" recordCount="24" xr:uid="{7CA75F31-5124-4A6C-8378-3E0CC306C97D}">
  <cacheSource type="worksheet">
    <worksheetSource ref="A1:O1048576" sheet="Data"/>
  </cacheSource>
  <cacheFields count="15">
    <cacheField name="Name" numFmtId="0">
      <sharedItems containsBlank="1"/>
    </cacheField>
    <cacheField name="Gender" numFmtId="0">
      <sharedItems containsBlank="1" count="3">
        <s v="Male"/>
        <s v="Female"/>
        <m/>
      </sharedItems>
    </cacheField>
    <cacheField name="Age Group (years)" numFmtId="0">
      <sharedItems containsBlank="1" count="6">
        <s v="31 - 50"/>
        <s v="6 - 10"/>
        <s v="0 - 5"/>
        <s v="11 - 18"/>
        <s v="65+"/>
        <m/>
      </sharedItems>
    </cacheField>
    <cacheField name="Occupation" numFmtId="0">
      <sharedItems containsBlank="1"/>
    </cacheField>
    <cacheField name="Screen Time per day (Hours)" numFmtId="0">
      <sharedItems containsString="0" containsBlank="1" containsNumber="1" minValue="1" maxValue="14"/>
    </cacheField>
    <cacheField name="Screen Time spent on devices" numFmtId="0">
      <sharedItems containsBlank="1" count="7">
        <s v="Mobile, Laptop, TV"/>
        <s v="Mobile"/>
        <s v="Mobile, TV"/>
        <s v="Laptop"/>
        <s v="Mobile, Laptop"/>
        <s v="Laptop, TV"/>
        <m/>
      </sharedItems>
    </cacheField>
    <cacheField name="Screen Time for Work or Study (Hours)" numFmtId="0">
      <sharedItems containsString="0" containsBlank="1" containsNumber="1" minValue="0" maxValue="12"/>
    </cacheField>
    <cacheField name="Screen Time for Entertainment (TV, Youtube etc.)" numFmtId="0">
      <sharedItems containsString="0" containsBlank="1" containsNumber="1" minValue="0" maxValue="4"/>
    </cacheField>
    <cacheField name="Screen Time for Social Media (Facebook, WhatsApp etc.)" numFmtId="0">
      <sharedItems containsString="0" containsBlank="1" containsNumber="1" minValue="0" maxValue="3.5"/>
    </cacheField>
    <cacheField name="Screen Time for Gaming " numFmtId="0">
      <sharedItems containsString="0" containsBlank="1" containsNumber="1" minValue="0" maxValue="1"/>
    </cacheField>
    <cacheField name="Screen time after 9 PM? " numFmtId="0">
      <sharedItems containsBlank="1" count="3">
        <s v="Yes"/>
        <s v="No"/>
        <m/>
      </sharedItems>
    </cacheField>
    <cacheField name="Screen time is too much? " numFmtId="0">
      <sharedItems containsBlank="1"/>
    </cacheField>
    <cacheField name="Sleep affected? " numFmtId="0">
      <sharedItems containsBlank="1" count="4">
        <s v="Maybe"/>
        <s v="No"/>
        <s v="Yes"/>
        <m/>
      </sharedItems>
    </cacheField>
    <cacheField name="Want to reduce screen time? " numFmtId="0">
      <sharedItems containsBlank="1"/>
    </cacheField>
    <cacheField name="What do you miss because of screen time? " numFmtId="0">
      <sharedItems containsBlank="1"/>
    </cacheField>
  </cacheFields>
  <extLst>
    <ext xmlns:x14="http://schemas.microsoft.com/office/spreadsheetml/2009/9/main" uri="{725AE2AE-9491-48be-B2B4-4EB974FC3084}">
      <x14:pivotCacheDefinition pivotCacheId="1989258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Kamal Aggarwal"/>
    <x v="0"/>
    <x v="0"/>
    <s v="Working (Salaried)"/>
    <n v="11"/>
    <x v="0"/>
    <n v="10"/>
    <n v="0.5"/>
    <n v="0.5"/>
    <n v="0"/>
    <x v="0"/>
    <s v="Yes"/>
    <x v="0"/>
    <s v="Yes"/>
    <s v="Outdoor activities"/>
  </r>
  <r>
    <s v="Chhaya "/>
    <x v="1"/>
    <x v="0"/>
    <s v="Not working"/>
    <n v="1"/>
    <x v="1"/>
    <n v="0"/>
    <n v="0"/>
    <n v="1"/>
    <n v="0"/>
    <x v="1"/>
    <s v="No"/>
    <x v="1"/>
    <s v="No"/>
    <s v="NA"/>
  </r>
  <r>
    <s v="Aayush Aggarwal"/>
    <x v="0"/>
    <x v="1"/>
    <s v="School"/>
    <n v="3"/>
    <x v="0"/>
    <n v="1"/>
    <n v="2"/>
    <n v="0"/>
    <n v="0"/>
    <x v="0"/>
    <s v="Yes"/>
    <x v="2"/>
    <s v="Yes"/>
    <s v="Study time"/>
  </r>
  <r>
    <s v="Arnika Aggarwal"/>
    <x v="1"/>
    <x v="2"/>
    <s v="School"/>
    <n v="2.5"/>
    <x v="2"/>
    <n v="0"/>
    <n v="2.5"/>
    <n v="0"/>
    <n v="0"/>
    <x v="0"/>
    <s v="Yes"/>
    <x v="2"/>
    <s v="Yes"/>
    <s v="Play and Sleep time"/>
  </r>
  <r>
    <s v="Lavanya"/>
    <x v="1"/>
    <x v="0"/>
    <s v="Working (Salaried)"/>
    <n v="9"/>
    <x v="3"/>
    <n v="8"/>
    <n v="0"/>
    <n v="1"/>
    <n v="0"/>
    <x v="1"/>
    <s v="No"/>
    <x v="1"/>
    <s v="Yes"/>
    <s v="Nothing "/>
  </r>
  <r>
    <s v="Bhavya "/>
    <x v="1"/>
    <x v="0"/>
    <s v="Working (Salaried)"/>
    <n v="10"/>
    <x v="3"/>
    <n v="8"/>
    <n v="1"/>
    <n v="1"/>
    <n v="0"/>
    <x v="0"/>
    <s v="No"/>
    <x v="2"/>
    <s v="No"/>
    <s v="Nothing "/>
  </r>
  <r>
    <s v="K Somasundaram "/>
    <x v="0"/>
    <x v="0"/>
    <s v="Working (Salaried)"/>
    <n v="10"/>
    <x v="0"/>
    <n v="8"/>
    <n v="1"/>
    <n v="1"/>
    <n v="0"/>
    <x v="0"/>
    <s v="Yes"/>
    <x v="0"/>
    <s v="Yes"/>
    <s v="Good sleep"/>
  </r>
  <r>
    <s v="Arti Tekchandani "/>
    <x v="1"/>
    <x v="0"/>
    <s v="Working (Salaried)"/>
    <n v="13"/>
    <x v="4"/>
    <n v="11"/>
    <n v="1"/>
    <n v="1"/>
    <n v="0"/>
    <x v="0"/>
    <s v="Yes"/>
    <x v="0"/>
    <s v="Maybe"/>
    <s v="Family time sometimes "/>
  </r>
  <r>
    <s v="Omprakash Tekchandani "/>
    <x v="0"/>
    <x v="0"/>
    <s v="Working (Salaried)"/>
    <n v="12"/>
    <x v="4"/>
    <n v="10"/>
    <n v="1"/>
    <n v="1"/>
    <n v="0"/>
    <x v="0"/>
    <s v="Yes"/>
    <x v="0"/>
    <s v="Yes"/>
    <s v="Family time"/>
  </r>
  <r>
    <s v="Dhiren Tekchandani "/>
    <x v="0"/>
    <x v="3"/>
    <s v="College"/>
    <n v="14"/>
    <x v="5"/>
    <n v="12"/>
    <n v="1"/>
    <n v="1"/>
    <n v="0"/>
    <x v="0"/>
    <s v="Yes"/>
    <x v="0"/>
    <s v="Yes"/>
    <s v="Family tome"/>
  </r>
  <r>
    <s v="MK"/>
    <x v="0"/>
    <x v="4"/>
    <s v="Retired"/>
    <n v="4"/>
    <x v="2"/>
    <n v="0"/>
    <n v="1"/>
    <n v="3"/>
    <n v="0"/>
    <x v="0"/>
    <s v="No"/>
    <x v="1"/>
    <s v="Maybe"/>
    <s v="NA"/>
  </r>
  <r>
    <s v="Salochana"/>
    <x v="1"/>
    <x v="4"/>
    <s v="Retired"/>
    <n v="2"/>
    <x v="2"/>
    <n v="0"/>
    <n v="1"/>
    <n v="1"/>
    <n v="0"/>
    <x v="1"/>
    <s v="No"/>
    <x v="1"/>
    <s v="No"/>
    <s v="NA"/>
  </r>
  <r>
    <s v="Kavin"/>
    <x v="0"/>
    <x v="3"/>
    <s v="School"/>
    <n v="2"/>
    <x v="2"/>
    <n v="0"/>
    <n v="1"/>
    <n v="0.5"/>
    <n v="0.5"/>
    <x v="1"/>
    <s v="No"/>
    <x v="1"/>
    <s v="Maybe"/>
    <s v="Studies"/>
  </r>
  <r>
    <s v="Deepika"/>
    <x v="1"/>
    <x v="0"/>
    <s v="Working (Salaried)"/>
    <n v="4"/>
    <x v="2"/>
    <n v="0"/>
    <n v="1"/>
    <n v="3"/>
    <n v="0"/>
    <x v="1"/>
    <s v="No"/>
    <x v="1"/>
    <s v="Maybe"/>
    <s v="NA"/>
  </r>
  <r>
    <s v="Sandeep"/>
    <x v="0"/>
    <x v="0"/>
    <s v="Working (Salaried)"/>
    <n v="1.5"/>
    <x v="2"/>
    <n v="0"/>
    <n v="0.5"/>
    <n v="1"/>
    <n v="0"/>
    <x v="1"/>
    <s v="No"/>
    <x v="1"/>
    <s v="Maybe"/>
    <s v="NA"/>
  </r>
  <r>
    <s v="Mohit"/>
    <x v="0"/>
    <x v="0"/>
    <s v="Working (Self Employed / Business)"/>
    <n v="6"/>
    <x v="2"/>
    <n v="1"/>
    <n v="1"/>
    <n v="3.5"/>
    <n v="0.5"/>
    <x v="0"/>
    <s v="No"/>
    <x v="0"/>
    <s v="Maybe"/>
    <s v="NA"/>
  </r>
  <r>
    <s v="Sulabh"/>
    <x v="0"/>
    <x v="0"/>
    <s v="Working (Self Employed / Business)"/>
    <n v="5.5"/>
    <x v="0"/>
    <n v="1.5"/>
    <n v="1"/>
    <n v="3"/>
    <n v="0"/>
    <x v="0"/>
    <s v="No"/>
    <x v="1"/>
    <s v="Maybe"/>
    <s v="NA"/>
  </r>
  <r>
    <s v="Avika"/>
    <x v="1"/>
    <x v="1"/>
    <s v="School"/>
    <n v="3.5"/>
    <x v="2"/>
    <n v="0"/>
    <n v="3"/>
    <n v="0"/>
    <n v="0.5"/>
    <x v="1"/>
    <s v="Yes"/>
    <x v="0"/>
    <s v="Yes"/>
    <s v="Studies"/>
  </r>
  <r>
    <s v="Aadhya"/>
    <x v="1"/>
    <x v="1"/>
    <s v="School"/>
    <n v="2.5"/>
    <x v="2"/>
    <n v="0"/>
    <n v="2"/>
    <n v="0"/>
    <n v="0.5"/>
    <x v="1"/>
    <s v="Yes"/>
    <x v="2"/>
    <s v="Yes"/>
    <s v="Studies"/>
  </r>
  <r>
    <s v="Nivan"/>
    <x v="0"/>
    <x v="2"/>
    <s v="School"/>
    <n v="5"/>
    <x v="2"/>
    <n v="0"/>
    <n v="4"/>
    <n v="0"/>
    <n v="1"/>
    <x v="0"/>
    <s v="Yes"/>
    <x v="2"/>
    <s v="Yes"/>
    <s v="Play and Sleep time"/>
  </r>
  <r>
    <s v="Navita"/>
    <x v="1"/>
    <x v="0"/>
    <s v="Not working"/>
    <n v="3"/>
    <x v="2"/>
    <n v="0"/>
    <n v="1"/>
    <n v="2"/>
    <n v="0"/>
    <x v="1"/>
    <s v="No"/>
    <x v="1"/>
    <s v="No"/>
    <s v="NA"/>
  </r>
  <r>
    <s v="Divya"/>
    <x v="1"/>
    <x v="0"/>
    <s v="Not working"/>
    <n v="5.5"/>
    <x v="2"/>
    <n v="0"/>
    <n v="2"/>
    <n v="3"/>
    <n v="0.5"/>
    <x v="0"/>
    <s v="No"/>
    <x v="1"/>
    <s v="No"/>
    <s v="NA"/>
  </r>
  <r>
    <m/>
    <x v="2"/>
    <x v="5"/>
    <m/>
    <m/>
    <x v="6"/>
    <m/>
    <m/>
    <m/>
    <m/>
    <x v="2"/>
    <m/>
    <x v="3"/>
    <m/>
    <m/>
  </r>
  <r>
    <m/>
    <x v="2"/>
    <x v="5"/>
    <m/>
    <m/>
    <x v="6"/>
    <m/>
    <m/>
    <m/>
    <m/>
    <x v="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D35481-1AD9-4AD4-BAEF-F11DED29B616}" name="PivotTable5"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vices Used" colHeaderCaption="Devices Used">
  <location ref="A22:B29" firstHeaderRow="1" firstDataRow="1" firstDataCol="1"/>
  <pivotFields count="15">
    <pivotField showAll="0"/>
    <pivotField showAll="0"/>
    <pivotField showAll="0">
      <items count="7">
        <item x="2"/>
        <item x="1"/>
        <item x="3"/>
        <item x="0"/>
        <item x="4"/>
        <item h="1" x="5"/>
        <item t="default"/>
      </items>
    </pivotField>
    <pivotField showAll="0"/>
    <pivotField showAll="0"/>
    <pivotField axis="axisRow" dataField="1" showAll="0">
      <items count="8">
        <item x="3"/>
        <item x="5"/>
        <item x="1"/>
        <item x="4"/>
        <item x="0"/>
        <item x="2"/>
        <item h="1" x="6"/>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fld="5" subtotal="count" baseField="0" baseItem="0"/>
  </dataFields>
  <formats count="12">
    <format dxfId="80">
      <pivotArea field="2" type="button" dataOnly="0" labelOnly="1" outline="0"/>
    </format>
    <format dxfId="79">
      <pivotArea dataOnly="0" labelOnly="1" grandCol="1" outline="0" fieldPosition="0"/>
    </format>
    <format dxfId="78">
      <pivotArea type="origin" dataOnly="0" labelOnly="1" outline="0" fieldPosition="0"/>
    </format>
    <format dxfId="77">
      <pivotArea field="5" type="button" dataOnly="0" labelOnly="1" outline="0" axis="axisRow" fieldPosition="0"/>
    </format>
    <format dxfId="76">
      <pivotArea type="all" dataOnly="0"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dataOnly="0" labelOnly="1" outline="0" axis="axisValues" fieldPosition="0"/>
    </format>
    <format dxfId="71">
      <pivotArea field="5" type="button" dataOnly="0" labelOnly="1" outline="0" axis="axisRow" fieldPosition="0"/>
    </format>
    <format dxfId="70">
      <pivotArea type="topRight" dataOnly="0" labelOnly="1" outline="0" fieldPosition="0"/>
    </format>
    <format dxfId="33">
      <pivotArea dataOnly="0" labelOnly="1" fieldPosition="0">
        <references count="1">
          <reference field="5" count="0"/>
        </references>
      </pivotArea>
    </format>
  </formats>
  <chartFormats count="1">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5DAF5-5120-4F86-B432-CE0AD30B01EA}" name="PivotTable4"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location ref="G14:I20" firstHeaderRow="0" firstDataRow="1" firstDataCol="1"/>
  <pivotFields count="15">
    <pivotField showAll="0"/>
    <pivotField showAll="0">
      <items count="4">
        <item x="1"/>
        <item x="0"/>
        <item x="2"/>
        <item t="default"/>
      </items>
    </pivotField>
    <pivotField axis="axisRow" showAll="0">
      <items count="7">
        <item x="2"/>
        <item x="1"/>
        <item x="3"/>
        <item x="0"/>
        <item x="4"/>
        <item h="1" x="5"/>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Work or Study Screen Time (Hours)" fld="6" baseField="0" baseItem="0"/>
    <dataField name=" Entertainment Screen Time" fld="7" baseField="0" baseItem="0"/>
  </dataFields>
  <formats count="14">
    <format dxfId="94">
      <pivotArea type="all" dataOnly="0" outline="0" fieldPosition="0"/>
    </format>
    <format dxfId="93">
      <pivotArea outline="0" collapsedLevelsAreSubtotals="1" fieldPosition="0"/>
    </format>
    <format dxfId="92">
      <pivotArea field="2" type="button" dataOnly="0" labelOnly="1" outline="0" axis="axisRow" fieldPosition="0"/>
    </format>
    <format dxfId="91">
      <pivotArea dataOnly="0" labelOnly="1" fieldPosition="0">
        <references count="1">
          <reference field="2" count="0"/>
        </references>
      </pivotArea>
    </format>
    <format dxfId="90">
      <pivotArea dataOnly="0" labelOnly="1" grandRow="1" outline="0" fieldPosition="0"/>
    </format>
    <format dxfId="89">
      <pivotArea dataOnly="0" labelOnly="1" outline="0" fieldPosition="0">
        <references count="1">
          <reference field="4294967294" count="2">
            <x v="0"/>
            <x v="1"/>
          </reference>
        </references>
      </pivotArea>
    </format>
    <format dxfId="88">
      <pivotArea type="all" dataOnly="0" outline="0" fieldPosition="0"/>
    </format>
    <format dxfId="87">
      <pivotArea outline="0" collapsedLevelsAreSubtotals="1" fieldPosition="0"/>
    </format>
    <format dxfId="86">
      <pivotArea field="2" type="button" dataOnly="0" labelOnly="1" outline="0" axis="axisRow" fieldPosition="0"/>
    </format>
    <format dxfId="85">
      <pivotArea dataOnly="0" labelOnly="1" fieldPosition="0">
        <references count="1">
          <reference field="2" count="0"/>
        </references>
      </pivotArea>
    </format>
    <format dxfId="84">
      <pivotArea dataOnly="0" labelOnly="1" grandRow="1" outline="0" fieldPosition="0"/>
    </format>
    <format dxfId="83">
      <pivotArea dataOnly="0" labelOnly="1" outline="0" fieldPosition="0">
        <references count="1">
          <reference field="4294967294" count="2">
            <x v="0"/>
            <x v="1"/>
          </reference>
        </references>
      </pivotArea>
    </format>
    <format dxfId="82">
      <pivotArea field="2" type="button" dataOnly="0" labelOnly="1" outline="0" axis="axisRow" fieldPosition="0"/>
    </format>
    <format dxfId="81">
      <pivotArea dataOnly="0" labelOnly="1" outline="0" fieldPosition="0">
        <references count="1">
          <reference field="4294967294" count="2">
            <x v="0"/>
            <x v="1"/>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7AFE4-AC9F-4F86-B2AE-BD0B21679FD7}" name="PivotTable3"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Group">
  <location ref="G3:I8" firstHeaderRow="0" firstDataRow="1" firstDataCol="1" rowPageCount="1" colPageCount="1"/>
  <pivotFields count="15">
    <pivotField showAll="0"/>
    <pivotField showAll="0">
      <items count="4">
        <item x="1"/>
        <item x="0"/>
        <item x="2"/>
        <item t="default"/>
      </items>
    </pivotField>
    <pivotField axis="axisRow" showAll="0">
      <items count="7">
        <item x="2"/>
        <item x="1"/>
        <item x="3"/>
        <item x="0"/>
        <item x="4"/>
        <item h="1" x="5"/>
        <item t="default"/>
      </items>
    </pivotField>
    <pivotField showAll="0"/>
    <pivotField dataField="1" showAll="0"/>
    <pivotField showAll="0"/>
    <pivotField showAll="0"/>
    <pivotField showAll="0"/>
    <pivotField showAll="0"/>
    <pivotField showAll="0"/>
    <pivotField showAll="0"/>
    <pivotField showAll="0"/>
    <pivotField axis="axisPage" dataField="1" multipleItemSelectionAllowed="1" showAll="0">
      <items count="5">
        <item x="0"/>
        <item h="1" x="1"/>
        <item x="2"/>
        <item h="1" x="3"/>
        <item t="default"/>
      </items>
    </pivotField>
    <pivotField showAll="0"/>
    <pivotField showAll="0"/>
  </pivotFields>
  <rowFields count="1">
    <field x="2"/>
  </rowFields>
  <rowItems count="5">
    <i>
      <x/>
    </i>
    <i>
      <x v="1"/>
    </i>
    <i>
      <x v="2"/>
    </i>
    <i>
      <x v="3"/>
    </i>
    <i t="grand">
      <x/>
    </i>
  </rowItems>
  <colFields count="1">
    <field x="-2"/>
  </colFields>
  <colItems count="2">
    <i>
      <x/>
    </i>
    <i i="1">
      <x v="1"/>
    </i>
  </colItems>
  <pageFields count="1">
    <pageField fld="12" hier="-1"/>
  </pageFields>
  <dataFields count="2">
    <dataField name="People having sleep effected" fld="12" subtotal="count" baseField="0" baseItem="0"/>
    <dataField name="Total Screen Time per day (Hours)" fld="4" baseField="0" baseItem="0"/>
  </dataFields>
  <formats count="16">
    <format dxfId="109">
      <pivotArea field="2" type="button" dataOnly="0" labelOnly="1" outline="0" axis="axisRow"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2" type="button" dataOnly="0" labelOnly="1" outline="0" axis="axisRow" fieldPosition="0"/>
    </format>
    <format dxfId="104">
      <pivotArea dataOnly="0" labelOnly="1" fieldPosition="0">
        <references count="1">
          <reference field="2" count="0"/>
        </references>
      </pivotArea>
    </format>
    <format dxfId="103">
      <pivotArea dataOnly="0" labelOnly="1" grandRow="1" outline="0" fieldPosition="0"/>
    </format>
    <format dxfId="102">
      <pivotArea dataOnly="0" labelOnly="1" outline="0" axis="axisValues" fieldPosition="0"/>
    </format>
    <format dxfId="101">
      <pivotArea field="12" type="button" dataOnly="0" labelOnly="1" outline="0" axis="axisPage" fieldPosition="0"/>
    </format>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4">
            <x v="0"/>
            <x v="1"/>
            <x v="2"/>
            <x v="3"/>
          </reference>
        </references>
      </pivotArea>
    </format>
    <format dxfId="96">
      <pivotArea dataOnly="0" labelOnly="1" grandRow="1" outline="0" fieldPosition="0"/>
    </format>
    <format dxfId="95">
      <pivotArea dataOnly="0" labelOnly="1" outline="0" axis="axisValues" fieldPosition="0"/>
    </format>
    <format dxfId="16">
      <pivotArea dataOnly="0" labelOnly="1" outline="0" fieldPosition="0">
        <references count="1">
          <reference field="4294967294" count="2">
            <x v="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9C0D28-1D26-4FCE-A691-8ED51A1BD436}" name="PivotTable2"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14:B20" firstHeaderRow="1" firstDataRow="1" firstDataCol="1" rowPageCount="1" colPageCount="1"/>
  <pivotFields count="15">
    <pivotField showAll="0"/>
    <pivotField showAll="0">
      <items count="4">
        <item x="1"/>
        <item x="0"/>
        <item x="2"/>
        <item t="default"/>
      </items>
    </pivotField>
    <pivotField axis="axisRow" showAll="0">
      <items count="7">
        <item x="2"/>
        <item x="1"/>
        <item x="3"/>
        <item x="0"/>
        <item x="4"/>
        <item h="1" x="5"/>
        <item t="default"/>
      </items>
    </pivotField>
    <pivotField showAll="0"/>
    <pivotField showAll="0"/>
    <pivotField showAll="0"/>
    <pivotField showAll="0"/>
    <pivotField showAll="0"/>
    <pivotField showAll="0"/>
    <pivotField showAll="0"/>
    <pivotField axis="axisPage" dataField="1" multipleItemSelectionAllowed="1" showAll="0">
      <items count="4">
        <item h="1" x="1"/>
        <item x="0"/>
        <item h="1" x="2"/>
        <item t="default"/>
      </items>
    </pivotField>
    <pivotField showAll="0"/>
    <pivotField showAll="0"/>
    <pivotField showAll="0"/>
    <pivotField showAll="0"/>
  </pivotFields>
  <rowFields count="1">
    <field x="2"/>
  </rowFields>
  <rowItems count="6">
    <i>
      <x/>
    </i>
    <i>
      <x v="1"/>
    </i>
    <i>
      <x v="2"/>
    </i>
    <i>
      <x v="3"/>
    </i>
    <i>
      <x v="4"/>
    </i>
    <i t="grand">
      <x/>
    </i>
  </rowItems>
  <colItems count="1">
    <i/>
  </colItems>
  <pageFields count="1">
    <pageField fld="10" hier="-1"/>
  </pageFields>
  <dataFields count="1">
    <dataField name="People with Screen time after 9 PM" fld="10" subtotal="count" baseField="0" baseItem="0"/>
  </dataFields>
  <formats count="20">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grandRow="1" outline="0" fieldPosition="0"/>
    </format>
    <format dxfId="124">
      <pivotArea dataOnly="0" labelOnly="1" outline="0" axis="axisValues" fieldPosition="0"/>
    </format>
    <format dxfId="123">
      <pivotArea field="2" type="button" dataOnly="0" labelOnly="1" outline="0" axis="axisRow"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AA862-48E5-4B87-9255-F790B5EA4DA9}" name="PivotTable1"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3:B9" firstHeaderRow="1" firstDataRow="1" firstDataCol="1"/>
  <pivotFields count="15">
    <pivotField showAll="0"/>
    <pivotField showAll="0">
      <items count="4">
        <item x="1"/>
        <item x="0"/>
        <item x="2"/>
        <item t="default"/>
      </items>
    </pivotField>
    <pivotField axis="axisRow" showAll="0">
      <items count="7">
        <item x="2"/>
        <item x="1"/>
        <item x="3"/>
        <item x="0"/>
        <item x="4"/>
        <item h="1"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creen Time Average(Hours)" fld="4" subtotal="average" baseField="2" baseItem="0" numFmtId="2"/>
  </dataFields>
  <formats count="21">
    <format dxfId="150">
      <pivotArea outline="0" collapsedLevelsAreSubtotals="1" fieldPosition="0"/>
    </format>
    <format dxfId="149">
      <pivotArea field="2" type="button" dataOnly="0" labelOnly="1" outline="0" axis="axisRow"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2" type="button" dataOnly="0" labelOnly="1" outline="0" axis="axisRow" fieldPosition="0"/>
    </format>
    <format dxfId="144">
      <pivotArea dataOnly="0" labelOnly="1" fieldPosition="0">
        <references count="1">
          <reference field="2"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2" type="button" dataOnly="0" labelOnly="1" outline="0" axis="axisRow" fieldPosition="0"/>
    </format>
    <format dxfId="138">
      <pivotArea dataOnly="0" labelOnly="1" fieldPosition="0">
        <references count="1">
          <reference field="2"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BFEE6C-94AF-47B1-A190-022D828B49C1}" sourceName="Gender">
  <pivotTables>
    <pivotTable tabId="2" name="PivotTable1"/>
  </pivotTables>
  <data>
    <tabular pivotCacheId="1989258650">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A918821-7DAD-42EB-93CB-EC0F429F7482}" cache="Slicer_Gender" caption="Gender"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23" headerRowDxfId="170" dataDxfId="168" totalsRowDxfId="166" headerRowBorderDxfId="169" tableBorderDxfId="167">
  <tableColumns count="15">
    <tableColumn id="2" xr3:uid="{00000000-0010-0000-0000-000002000000}" name="Name" dataDxfId="165"/>
    <tableColumn id="3" xr3:uid="{00000000-0010-0000-0000-000003000000}" name="Gender" dataDxfId="164"/>
    <tableColumn id="4" xr3:uid="{00000000-0010-0000-0000-000004000000}" name="Age Group (years)" dataDxfId="163"/>
    <tableColumn id="5" xr3:uid="{00000000-0010-0000-0000-000005000000}" name="Occupation" dataDxfId="162"/>
    <tableColumn id="6" xr3:uid="{00000000-0010-0000-0000-000006000000}" name="Screen Time per day (Hours)" dataDxfId="161">
      <calculatedColumnFormula>SUM(Form_Responses[[#This Row],[Screen Time for Work or Study (Hours)]:[Screen Time for Gaming ]])</calculatedColumnFormula>
    </tableColumn>
    <tableColumn id="7" xr3:uid="{00000000-0010-0000-0000-000007000000}" name="Screen Time spent on devices" dataDxfId="160"/>
    <tableColumn id="8" xr3:uid="{00000000-0010-0000-0000-000008000000}" name="Screen Time for Work or Study (Hours)" dataDxfId="159"/>
    <tableColumn id="9" xr3:uid="{00000000-0010-0000-0000-000009000000}" name="Screen Time for Entertainment (TV, Youtube etc.)" dataDxfId="158"/>
    <tableColumn id="10" xr3:uid="{00000000-0010-0000-0000-00000A000000}" name="Screen Time for Social Media (Facebook, WhatsApp etc.)" dataDxfId="157"/>
    <tableColumn id="11" xr3:uid="{00000000-0010-0000-0000-00000B000000}" name="Screen Time for Gaming " dataDxfId="156"/>
    <tableColumn id="12" xr3:uid="{00000000-0010-0000-0000-00000C000000}" name="Screen time after 9 PM? " dataDxfId="155"/>
    <tableColumn id="13" xr3:uid="{00000000-0010-0000-0000-00000D000000}" name="Screen time is too much? " dataDxfId="154"/>
    <tableColumn id="14" xr3:uid="{00000000-0010-0000-0000-00000E000000}" name="Sleep affected? " dataDxfId="153"/>
    <tableColumn id="15" xr3:uid="{00000000-0010-0000-0000-00000F000000}" name="Want to reduce screen time? " dataDxfId="152"/>
    <tableColumn id="16" xr3:uid="{00000000-0010-0000-0000-000010000000}" name="What do you miss because of screen time? " dataDxfId="15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3"/>
  <sheetViews>
    <sheetView zoomScale="80" zoomScaleNormal="80" workbookViewId="0">
      <pane ySplit="1" topLeftCell="A2" activePane="bottomLeft" state="frozen"/>
      <selection pane="bottomLeft" activeCell="C1" sqref="C1:C1048576"/>
    </sheetView>
  </sheetViews>
  <sheetFormatPr defaultColWidth="12.6328125" defaultRowHeight="15.75" customHeight="1" x14ac:dyDescent="0.25"/>
  <cols>
    <col min="1" max="1" width="19.7265625" bestFit="1" customWidth="1"/>
    <col min="2" max="2" width="6.26953125" bestFit="1" customWidth="1"/>
    <col min="3" max="3" width="14.26953125" bestFit="1" customWidth="1"/>
    <col min="4" max="4" width="27.1796875" bestFit="1" customWidth="1"/>
    <col min="5" max="5" width="22.1796875" bestFit="1" customWidth="1"/>
    <col min="6" max="6" width="27" customWidth="1"/>
    <col min="7" max="7" width="29.6328125" bestFit="1" customWidth="1"/>
    <col min="8" max="9" width="37.6328125" customWidth="1"/>
    <col min="10" max="10" width="23.26953125" customWidth="1"/>
    <col min="11" max="11" width="28.6328125" customWidth="1"/>
    <col min="12" max="12" width="32.90625" bestFit="1" customWidth="1"/>
    <col min="13" max="13" width="20.81640625" bestFit="1" customWidth="1"/>
    <col min="14" max="14" width="31.453125" customWidth="1"/>
    <col min="15" max="15" width="32.81640625" bestFit="1" customWidth="1"/>
    <col min="16" max="21" width="18.90625" customWidth="1"/>
  </cols>
  <sheetData>
    <row r="1" spans="1:15" ht="15.75" customHeight="1" x14ac:dyDescent="0.25">
      <c r="A1" s="1" t="s">
        <v>0</v>
      </c>
      <c r="B1" s="2" t="s">
        <v>1</v>
      </c>
      <c r="C1" s="2" t="s">
        <v>2</v>
      </c>
      <c r="D1" s="2" t="s">
        <v>3</v>
      </c>
      <c r="E1" s="2" t="s">
        <v>64</v>
      </c>
      <c r="F1" s="2" t="s">
        <v>4</v>
      </c>
      <c r="G1" s="2" t="s">
        <v>5</v>
      </c>
      <c r="H1" s="2" t="s">
        <v>6</v>
      </c>
      <c r="I1" s="2" t="s">
        <v>7</v>
      </c>
      <c r="J1" s="2" t="s">
        <v>8</v>
      </c>
      <c r="K1" s="2" t="s">
        <v>65</v>
      </c>
      <c r="L1" s="2" t="s">
        <v>66</v>
      </c>
      <c r="M1" s="2" t="s">
        <v>67</v>
      </c>
      <c r="N1" s="2" t="s">
        <v>68</v>
      </c>
      <c r="O1" s="3" t="s">
        <v>9</v>
      </c>
    </row>
    <row r="2" spans="1:15" ht="15.75" customHeight="1" x14ac:dyDescent="0.25">
      <c r="A2" s="4" t="s">
        <v>10</v>
      </c>
      <c r="B2" s="5" t="s">
        <v>11</v>
      </c>
      <c r="C2" s="5" t="s">
        <v>12</v>
      </c>
      <c r="D2" s="5" t="s">
        <v>13</v>
      </c>
      <c r="E2" s="5">
        <f>SUM(Form_Responses[[#This Row],[Screen Time for Work or Study (Hours)]:[Screen Time for Gaming ]])</f>
        <v>11</v>
      </c>
      <c r="F2" s="5" t="s">
        <v>14</v>
      </c>
      <c r="G2" s="5">
        <v>10</v>
      </c>
      <c r="H2" s="5">
        <v>0.5</v>
      </c>
      <c r="I2" s="5">
        <v>0.5</v>
      </c>
      <c r="J2" s="5">
        <v>0</v>
      </c>
      <c r="K2" s="5" t="s">
        <v>15</v>
      </c>
      <c r="L2" s="5" t="s">
        <v>15</v>
      </c>
      <c r="M2" s="5" t="s">
        <v>16</v>
      </c>
      <c r="N2" s="5" t="s">
        <v>15</v>
      </c>
      <c r="O2" s="6" t="s">
        <v>17</v>
      </c>
    </row>
    <row r="3" spans="1:15" ht="15.75" customHeight="1" x14ac:dyDescent="0.25">
      <c r="A3" s="4" t="s">
        <v>18</v>
      </c>
      <c r="B3" s="5" t="s">
        <v>19</v>
      </c>
      <c r="C3" s="5" t="s">
        <v>12</v>
      </c>
      <c r="D3" s="5" t="s">
        <v>20</v>
      </c>
      <c r="E3" s="5">
        <f>SUM(Form_Responses[[#This Row],[Screen Time for Work or Study (Hours)]:[Screen Time for Gaming ]])</f>
        <v>1</v>
      </c>
      <c r="F3" s="5" t="s">
        <v>21</v>
      </c>
      <c r="G3" s="5">
        <v>0</v>
      </c>
      <c r="H3" s="5">
        <v>0</v>
      </c>
      <c r="I3" s="5">
        <v>1</v>
      </c>
      <c r="J3" s="5">
        <v>0</v>
      </c>
      <c r="K3" s="5" t="s">
        <v>22</v>
      </c>
      <c r="L3" s="5" t="s">
        <v>22</v>
      </c>
      <c r="M3" s="5" t="s">
        <v>22</v>
      </c>
      <c r="N3" s="5" t="s">
        <v>22</v>
      </c>
      <c r="O3" s="6" t="s">
        <v>23</v>
      </c>
    </row>
    <row r="4" spans="1:15" ht="15.75" customHeight="1" x14ac:dyDescent="0.25">
      <c r="A4" s="4" t="s">
        <v>24</v>
      </c>
      <c r="B4" s="5" t="s">
        <v>11</v>
      </c>
      <c r="C4" s="5" t="s">
        <v>25</v>
      </c>
      <c r="D4" s="5" t="s">
        <v>26</v>
      </c>
      <c r="E4" s="5">
        <f>SUM(Form_Responses[[#This Row],[Screen Time for Work or Study (Hours)]:[Screen Time for Gaming ]])</f>
        <v>3</v>
      </c>
      <c r="F4" s="5" t="s">
        <v>14</v>
      </c>
      <c r="G4" s="5">
        <v>1</v>
      </c>
      <c r="H4" s="5">
        <v>2</v>
      </c>
      <c r="I4" s="5">
        <v>0</v>
      </c>
      <c r="J4" s="5">
        <v>0</v>
      </c>
      <c r="K4" s="5" t="s">
        <v>15</v>
      </c>
      <c r="L4" s="5" t="s">
        <v>15</v>
      </c>
      <c r="M4" s="5" t="s">
        <v>15</v>
      </c>
      <c r="N4" s="5" t="s">
        <v>15</v>
      </c>
      <c r="O4" s="6" t="s">
        <v>27</v>
      </c>
    </row>
    <row r="5" spans="1:15" ht="15.75" customHeight="1" x14ac:dyDescent="0.25">
      <c r="A5" s="4" t="s">
        <v>28</v>
      </c>
      <c r="B5" s="5" t="s">
        <v>19</v>
      </c>
      <c r="C5" s="5" t="s">
        <v>29</v>
      </c>
      <c r="D5" s="5" t="s">
        <v>26</v>
      </c>
      <c r="E5" s="5">
        <f>SUM(Form_Responses[[#This Row],[Screen Time for Work or Study (Hours)]:[Screen Time for Gaming ]])</f>
        <v>2.5</v>
      </c>
      <c r="F5" s="5" t="s">
        <v>30</v>
      </c>
      <c r="G5" s="5">
        <v>0</v>
      </c>
      <c r="H5" s="5">
        <v>2.5</v>
      </c>
      <c r="I5" s="5">
        <v>0</v>
      </c>
      <c r="J5" s="5">
        <v>0</v>
      </c>
      <c r="K5" s="5" t="s">
        <v>15</v>
      </c>
      <c r="L5" s="5" t="s">
        <v>15</v>
      </c>
      <c r="M5" s="5" t="s">
        <v>15</v>
      </c>
      <c r="N5" s="5" t="s">
        <v>15</v>
      </c>
      <c r="O5" s="6" t="s">
        <v>31</v>
      </c>
    </row>
    <row r="6" spans="1:15" ht="15.75" customHeight="1" x14ac:dyDescent="0.25">
      <c r="A6" s="4" t="s">
        <v>32</v>
      </c>
      <c r="B6" s="5" t="s">
        <v>19</v>
      </c>
      <c r="C6" s="5" t="s">
        <v>12</v>
      </c>
      <c r="D6" s="5" t="s">
        <v>13</v>
      </c>
      <c r="E6" s="5">
        <f>SUM(Form_Responses[[#This Row],[Screen Time for Work or Study (Hours)]:[Screen Time for Gaming ]])</f>
        <v>9</v>
      </c>
      <c r="F6" s="5" t="s">
        <v>33</v>
      </c>
      <c r="G6" s="5">
        <v>8</v>
      </c>
      <c r="H6" s="5">
        <v>0</v>
      </c>
      <c r="I6" s="5">
        <v>1</v>
      </c>
      <c r="J6" s="5">
        <v>0</v>
      </c>
      <c r="K6" s="5" t="s">
        <v>22</v>
      </c>
      <c r="L6" s="5" t="s">
        <v>22</v>
      </c>
      <c r="M6" s="5" t="s">
        <v>22</v>
      </c>
      <c r="N6" s="5" t="s">
        <v>15</v>
      </c>
      <c r="O6" s="6" t="s">
        <v>34</v>
      </c>
    </row>
    <row r="7" spans="1:15" ht="15.75" customHeight="1" x14ac:dyDescent="0.25">
      <c r="A7" s="4" t="s">
        <v>35</v>
      </c>
      <c r="B7" s="5" t="s">
        <v>19</v>
      </c>
      <c r="C7" s="5" t="s">
        <v>12</v>
      </c>
      <c r="D7" s="5" t="s">
        <v>13</v>
      </c>
      <c r="E7" s="5">
        <f>SUM(Form_Responses[[#This Row],[Screen Time for Work or Study (Hours)]:[Screen Time for Gaming ]])</f>
        <v>10</v>
      </c>
      <c r="F7" s="5" t="s">
        <v>33</v>
      </c>
      <c r="G7" s="5">
        <v>8</v>
      </c>
      <c r="H7" s="5">
        <v>1</v>
      </c>
      <c r="I7" s="5">
        <v>1</v>
      </c>
      <c r="J7" s="5">
        <v>0</v>
      </c>
      <c r="K7" s="5" t="s">
        <v>15</v>
      </c>
      <c r="L7" s="5" t="s">
        <v>22</v>
      </c>
      <c r="M7" s="5" t="s">
        <v>15</v>
      </c>
      <c r="N7" s="5" t="s">
        <v>22</v>
      </c>
      <c r="O7" s="6" t="s">
        <v>34</v>
      </c>
    </row>
    <row r="8" spans="1:15" ht="15.75" customHeight="1" x14ac:dyDescent="0.25">
      <c r="A8" s="4" t="s">
        <v>36</v>
      </c>
      <c r="B8" s="5" t="s">
        <v>11</v>
      </c>
      <c r="C8" s="5" t="s">
        <v>12</v>
      </c>
      <c r="D8" s="5" t="s">
        <v>13</v>
      </c>
      <c r="E8" s="5">
        <v>10</v>
      </c>
      <c r="F8" s="5" t="s">
        <v>14</v>
      </c>
      <c r="G8" s="5">
        <v>8</v>
      </c>
      <c r="H8" s="5">
        <v>1</v>
      </c>
      <c r="I8" s="5">
        <v>1</v>
      </c>
      <c r="J8" s="5">
        <v>0</v>
      </c>
      <c r="K8" s="5" t="s">
        <v>15</v>
      </c>
      <c r="L8" s="5" t="s">
        <v>15</v>
      </c>
      <c r="M8" s="5" t="s">
        <v>16</v>
      </c>
      <c r="N8" s="5" t="s">
        <v>15</v>
      </c>
      <c r="O8" s="6" t="s">
        <v>37</v>
      </c>
    </row>
    <row r="9" spans="1:15" ht="15.75" customHeight="1" x14ac:dyDescent="0.25">
      <c r="A9" s="4" t="s">
        <v>38</v>
      </c>
      <c r="B9" s="5" t="s">
        <v>19</v>
      </c>
      <c r="C9" s="5" t="s">
        <v>12</v>
      </c>
      <c r="D9" s="5" t="s">
        <v>13</v>
      </c>
      <c r="E9" s="5">
        <v>13</v>
      </c>
      <c r="F9" s="5" t="s">
        <v>39</v>
      </c>
      <c r="G9" s="5">
        <v>11</v>
      </c>
      <c r="H9" s="5">
        <v>1</v>
      </c>
      <c r="I9" s="5">
        <v>1</v>
      </c>
      <c r="J9" s="5">
        <v>0</v>
      </c>
      <c r="K9" s="5" t="s">
        <v>15</v>
      </c>
      <c r="L9" s="5" t="s">
        <v>15</v>
      </c>
      <c r="M9" s="5" t="s">
        <v>16</v>
      </c>
      <c r="N9" s="5" t="s">
        <v>16</v>
      </c>
      <c r="O9" s="6" t="s">
        <v>40</v>
      </c>
    </row>
    <row r="10" spans="1:15" ht="15.75" customHeight="1" x14ac:dyDescent="0.25">
      <c r="A10" s="4" t="s">
        <v>41</v>
      </c>
      <c r="B10" s="5" t="s">
        <v>11</v>
      </c>
      <c r="C10" s="5" t="s">
        <v>12</v>
      </c>
      <c r="D10" s="5" t="s">
        <v>13</v>
      </c>
      <c r="E10" s="5">
        <v>12</v>
      </c>
      <c r="F10" s="5" t="s">
        <v>39</v>
      </c>
      <c r="G10" s="5">
        <v>10</v>
      </c>
      <c r="H10" s="5">
        <v>1</v>
      </c>
      <c r="I10" s="5">
        <v>1</v>
      </c>
      <c r="J10" s="5">
        <v>0</v>
      </c>
      <c r="K10" s="5" t="s">
        <v>15</v>
      </c>
      <c r="L10" s="5" t="s">
        <v>15</v>
      </c>
      <c r="M10" s="5" t="s">
        <v>16</v>
      </c>
      <c r="N10" s="5" t="s">
        <v>15</v>
      </c>
      <c r="O10" s="6" t="s">
        <v>42</v>
      </c>
    </row>
    <row r="11" spans="1:15" ht="15.75" customHeight="1" x14ac:dyDescent="0.25">
      <c r="A11" s="4" t="s">
        <v>43</v>
      </c>
      <c r="B11" s="5" t="s">
        <v>11</v>
      </c>
      <c r="C11" s="5" t="s">
        <v>44</v>
      </c>
      <c r="D11" s="5" t="s">
        <v>45</v>
      </c>
      <c r="E11" s="5">
        <v>14</v>
      </c>
      <c r="F11" s="5" t="s">
        <v>46</v>
      </c>
      <c r="G11" s="5">
        <v>12</v>
      </c>
      <c r="H11" s="5">
        <v>1</v>
      </c>
      <c r="I11" s="5">
        <v>1</v>
      </c>
      <c r="J11" s="5">
        <v>0</v>
      </c>
      <c r="K11" s="5" t="s">
        <v>15</v>
      </c>
      <c r="L11" s="5" t="s">
        <v>15</v>
      </c>
      <c r="M11" s="5" t="s">
        <v>16</v>
      </c>
      <c r="N11" s="5" t="s">
        <v>15</v>
      </c>
      <c r="O11" s="6" t="s">
        <v>47</v>
      </c>
    </row>
    <row r="12" spans="1:15" ht="15.75" customHeight="1" x14ac:dyDescent="0.25">
      <c r="A12" s="4" t="s">
        <v>48</v>
      </c>
      <c r="B12" s="5" t="s">
        <v>11</v>
      </c>
      <c r="C12" s="5" t="s">
        <v>49</v>
      </c>
      <c r="D12" s="5" t="s">
        <v>50</v>
      </c>
      <c r="E12" s="5">
        <v>4</v>
      </c>
      <c r="F12" s="5" t="s">
        <v>30</v>
      </c>
      <c r="G12" s="5">
        <v>0</v>
      </c>
      <c r="H12" s="5">
        <v>1</v>
      </c>
      <c r="I12" s="5">
        <v>3</v>
      </c>
      <c r="J12" s="5">
        <v>0</v>
      </c>
      <c r="K12" s="5" t="s">
        <v>15</v>
      </c>
      <c r="L12" s="5" t="s">
        <v>22</v>
      </c>
      <c r="M12" s="5" t="s">
        <v>22</v>
      </c>
      <c r="N12" s="5" t="s">
        <v>16</v>
      </c>
      <c r="O12" s="6" t="s">
        <v>23</v>
      </c>
    </row>
    <row r="13" spans="1:15" ht="15.75" customHeight="1" x14ac:dyDescent="0.25">
      <c r="A13" s="4" t="s">
        <v>51</v>
      </c>
      <c r="B13" s="5" t="s">
        <v>19</v>
      </c>
      <c r="C13" s="5" t="s">
        <v>49</v>
      </c>
      <c r="D13" s="5" t="s">
        <v>50</v>
      </c>
      <c r="E13" s="5">
        <v>2</v>
      </c>
      <c r="F13" s="5" t="s">
        <v>30</v>
      </c>
      <c r="G13" s="5">
        <v>0</v>
      </c>
      <c r="H13" s="5">
        <v>1</v>
      </c>
      <c r="I13" s="5">
        <v>1</v>
      </c>
      <c r="J13" s="5">
        <v>0</v>
      </c>
      <c r="K13" s="5" t="s">
        <v>22</v>
      </c>
      <c r="L13" s="5" t="s">
        <v>22</v>
      </c>
      <c r="M13" s="5" t="s">
        <v>22</v>
      </c>
      <c r="N13" s="5" t="s">
        <v>22</v>
      </c>
      <c r="O13" s="6" t="s">
        <v>23</v>
      </c>
    </row>
    <row r="14" spans="1:15" ht="15.75" customHeight="1" x14ac:dyDescent="0.25">
      <c r="A14" s="4" t="s">
        <v>52</v>
      </c>
      <c r="B14" s="5" t="s">
        <v>11</v>
      </c>
      <c r="C14" s="5" t="s">
        <v>44</v>
      </c>
      <c r="D14" s="5" t="s">
        <v>26</v>
      </c>
      <c r="E14" s="5">
        <v>2</v>
      </c>
      <c r="F14" s="5" t="s">
        <v>30</v>
      </c>
      <c r="G14" s="5">
        <v>0</v>
      </c>
      <c r="H14" s="5">
        <v>1</v>
      </c>
      <c r="I14" s="5">
        <v>0.5</v>
      </c>
      <c r="J14" s="5">
        <v>0.5</v>
      </c>
      <c r="K14" s="5" t="s">
        <v>22</v>
      </c>
      <c r="L14" s="5" t="s">
        <v>22</v>
      </c>
      <c r="M14" s="5" t="s">
        <v>22</v>
      </c>
      <c r="N14" s="5" t="s">
        <v>16</v>
      </c>
      <c r="O14" s="6" t="s">
        <v>53</v>
      </c>
    </row>
    <row r="15" spans="1:15" ht="15.75" customHeight="1" x14ac:dyDescent="0.25">
      <c r="A15" s="4" t="s">
        <v>54</v>
      </c>
      <c r="B15" s="5" t="s">
        <v>19</v>
      </c>
      <c r="C15" s="5" t="s">
        <v>12</v>
      </c>
      <c r="D15" s="5" t="s">
        <v>13</v>
      </c>
      <c r="E15" s="5">
        <v>4</v>
      </c>
      <c r="F15" s="5" t="s">
        <v>30</v>
      </c>
      <c r="G15" s="5">
        <v>0</v>
      </c>
      <c r="H15" s="5">
        <v>1</v>
      </c>
      <c r="I15" s="5">
        <v>3</v>
      </c>
      <c r="J15" s="5">
        <v>0</v>
      </c>
      <c r="K15" s="5" t="s">
        <v>22</v>
      </c>
      <c r="L15" s="5" t="s">
        <v>22</v>
      </c>
      <c r="M15" s="5" t="s">
        <v>22</v>
      </c>
      <c r="N15" s="5" t="s">
        <v>16</v>
      </c>
      <c r="O15" s="6" t="s">
        <v>23</v>
      </c>
    </row>
    <row r="16" spans="1:15" ht="15.75" customHeight="1" x14ac:dyDescent="0.25">
      <c r="A16" s="4" t="s">
        <v>55</v>
      </c>
      <c r="B16" s="5" t="s">
        <v>11</v>
      </c>
      <c r="C16" s="5" t="s">
        <v>12</v>
      </c>
      <c r="D16" s="5" t="s">
        <v>13</v>
      </c>
      <c r="E16" s="5">
        <v>1.5</v>
      </c>
      <c r="F16" s="5" t="s">
        <v>30</v>
      </c>
      <c r="G16" s="5">
        <v>0</v>
      </c>
      <c r="H16" s="5">
        <v>0.5</v>
      </c>
      <c r="I16" s="5">
        <v>1</v>
      </c>
      <c r="J16" s="5">
        <v>0</v>
      </c>
      <c r="K16" s="5" t="s">
        <v>22</v>
      </c>
      <c r="L16" s="5" t="s">
        <v>22</v>
      </c>
      <c r="M16" s="5" t="s">
        <v>22</v>
      </c>
      <c r="N16" s="5" t="s">
        <v>16</v>
      </c>
      <c r="O16" s="6" t="s">
        <v>23</v>
      </c>
    </row>
    <row r="17" spans="1:15" ht="15.75" customHeight="1" x14ac:dyDescent="0.25">
      <c r="A17" s="4" t="s">
        <v>56</v>
      </c>
      <c r="B17" s="5" t="s">
        <v>11</v>
      </c>
      <c r="C17" s="5" t="s">
        <v>12</v>
      </c>
      <c r="D17" s="5" t="s">
        <v>57</v>
      </c>
      <c r="E17" s="5">
        <v>6</v>
      </c>
      <c r="F17" s="5" t="s">
        <v>30</v>
      </c>
      <c r="G17" s="5">
        <v>1</v>
      </c>
      <c r="H17" s="5">
        <v>1</v>
      </c>
      <c r="I17" s="5">
        <v>3.5</v>
      </c>
      <c r="J17" s="5">
        <v>0.5</v>
      </c>
      <c r="K17" s="5" t="s">
        <v>15</v>
      </c>
      <c r="L17" s="5" t="s">
        <v>22</v>
      </c>
      <c r="M17" s="5" t="s">
        <v>16</v>
      </c>
      <c r="N17" s="5" t="s">
        <v>16</v>
      </c>
      <c r="O17" s="6" t="s">
        <v>23</v>
      </c>
    </row>
    <row r="18" spans="1:15" ht="15.75" customHeight="1" x14ac:dyDescent="0.25">
      <c r="A18" s="4" t="s">
        <v>58</v>
      </c>
      <c r="B18" s="5" t="s">
        <v>11</v>
      </c>
      <c r="C18" s="5" t="s">
        <v>12</v>
      </c>
      <c r="D18" s="5" t="s">
        <v>57</v>
      </c>
      <c r="E18" s="5">
        <v>5.5</v>
      </c>
      <c r="F18" s="5" t="s">
        <v>14</v>
      </c>
      <c r="G18" s="5">
        <v>1.5</v>
      </c>
      <c r="H18" s="5">
        <v>1</v>
      </c>
      <c r="I18" s="5">
        <v>3</v>
      </c>
      <c r="J18" s="5">
        <v>0</v>
      </c>
      <c r="K18" s="5" t="s">
        <v>15</v>
      </c>
      <c r="L18" s="5" t="s">
        <v>22</v>
      </c>
      <c r="M18" s="5" t="s">
        <v>22</v>
      </c>
      <c r="N18" s="5" t="s">
        <v>16</v>
      </c>
      <c r="O18" s="6" t="s">
        <v>23</v>
      </c>
    </row>
    <row r="19" spans="1:15" ht="15.75" customHeight="1" x14ac:dyDescent="0.25">
      <c r="A19" s="4" t="s">
        <v>59</v>
      </c>
      <c r="B19" s="5" t="s">
        <v>19</v>
      </c>
      <c r="C19" s="5" t="s">
        <v>25</v>
      </c>
      <c r="D19" s="5" t="s">
        <v>26</v>
      </c>
      <c r="E19" s="5">
        <v>3.5</v>
      </c>
      <c r="F19" s="5" t="s">
        <v>30</v>
      </c>
      <c r="G19" s="5">
        <v>0</v>
      </c>
      <c r="H19" s="5">
        <v>3</v>
      </c>
      <c r="I19" s="5">
        <v>0</v>
      </c>
      <c r="J19" s="5">
        <v>0.5</v>
      </c>
      <c r="K19" s="5" t="s">
        <v>22</v>
      </c>
      <c r="L19" s="5" t="s">
        <v>15</v>
      </c>
      <c r="M19" s="5" t="s">
        <v>16</v>
      </c>
      <c r="N19" s="5" t="s">
        <v>15</v>
      </c>
      <c r="O19" s="6" t="s">
        <v>53</v>
      </c>
    </row>
    <row r="20" spans="1:15" ht="15.75" customHeight="1" x14ac:dyDescent="0.25">
      <c r="A20" s="4" t="s">
        <v>60</v>
      </c>
      <c r="B20" s="5" t="s">
        <v>19</v>
      </c>
      <c r="C20" s="5" t="s">
        <v>25</v>
      </c>
      <c r="D20" s="5" t="s">
        <v>26</v>
      </c>
      <c r="E20" s="5">
        <v>2.5</v>
      </c>
      <c r="F20" s="5" t="s">
        <v>30</v>
      </c>
      <c r="G20" s="5">
        <v>0</v>
      </c>
      <c r="H20" s="5">
        <v>2</v>
      </c>
      <c r="I20" s="5">
        <v>0</v>
      </c>
      <c r="J20" s="5">
        <v>0.5</v>
      </c>
      <c r="K20" s="5" t="s">
        <v>22</v>
      </c>
      <c r="L20" s="5" t="s">
        <v>15</v>
      </c>
      <c r="M20" s="5" t="s">
        <v>15</v>
      </c>
      <c r="N20" s="5" t="s">
        <v>15</v>
      </c>
      <c r="O20" s="6" t="s">
        <v>53</v>
      </c>
    </row>
    <row r="21" spans="1:15" ht="15.75" customHeight="1" x14ac:dyDescent="0.25">
      <c r="A21" s="4" t="s">
        <v>61</v>
      </c>
      <c r="B21" s="5" t="s">
        <v>11</v>
      </c>
      <c r="C21" s="5" t="s">
        <v>29</v>
      </c>
      <c r="D21" s="5" t="s">
        <v>26</v>
      </c>
      <c r="E21" s="5">
        <v>5</v>
      </c>
      <c r="F21" s="5" t="s">
        <v>30</v>
      </c>
      <c r="G21" s="5">
        <v>0</v>
      </c>
      <c r="H21" s="5">
        <v>4</v>
      </c>
      <c r="I21" s="5">
        <v>0</v>
      </c>
      <c r="J21" s="5">
        <v>1</v>
      </c>
      <c r="K21" s="5" t="s">
        <v>15</v>
      </c>
      <c r="L21" s="5" t="s">
        <v>15</v>
      </c>
      <c r="M21" s="5" t="s">
        <v>15</v>
      </c>
      <c r="N21" s="5" t="s">
        <v>15</v>
      </c>
      <c r="O21" s="6" t="s">
        <v>31</v>
      </c>
    </row>
    <row r="22" spans="1:15" ht="15.75" customHeight="1" x14ac:dyDescent="0.25">
      <c r="A22" s="4" t="s">
        <v>62</v>
      </c>
      <c r="B22" s="5" t="s">
        <v>19</v>
      </c>
      <c r="C22" s="5" t="s">
        <v>12</v>
      </c>
      <c r="D22" s="5" t="s">
        <v>20</v>
      </c>
      <c r="E22" s="5">
        <v>3</v>
      </c>
      <c r="F22" s="5" t="s">
        <v>30</v>
      </c>
      <c r="G22" s="5">
        <v>0</v>
      </c>
      <c r="H22" s="5">
        <v>1</v>
      </c>
      <c r="I22" s="5">
        <v>2</v>
      </c>
      <c r="J22" s="5">
        <v>0</v>
      </c>
      <c r="K22" s="5" t="s">
        <v>22</v>
      </c>
      <c r="L22" s="5" t="s">
        <v>22</v>
      </c>
      <c r="M22" s="5" t="s">
        <v>22</v>
      </c>
      <c r="N22" s="5" t="s">
        <v>22</v>
      </c>
      <c r="O22" s="6" t="s">
        <v>23</v>
      </c>
    </row>
    <row r="23" spans="1:15" ht="15.75" customHeight="1" x14ac:dyDescent="0.25">
      <c r="A23" s="7" t="s">
        <v>63</v>
      </c>
      <c r="B23" s="8" t="s">
        <v>19</v>
      </c>
      <c r="C23" s="8" t="s">
        <v>12</v>
      </c>
      <c r="D23" s="8" t="s">
        <v>20</v>
      </c>
      <c r="E23" s="5">
        <v>5.5</v>
      </c>
      <c r="F23" s="8" t="s">
        <v>30</v>
      </c>
      <c r="G23" s="8">
        <v>0</v>
      </c>
      <c r="H23" s="8">
        <v>2</v>
      </c>
      <c r="I23" s="8">
        <v>3</v>
      </c>
      <c r="J23" s="8">
        <v>0.5</v>
      </c>
      <c r="K23" s="8" t="s">
        <v>15</v>
      </c>
      <c r="L23" s="8" t="s">
        <v>22</v>
      </c>
      <c r="M23" s="8" t="s">
        <v>22</v>
      </c>
      <c r="N23" s="8" t="s">
        <v>22</v>
      </c>
      <c r="O23" s="9" t="s">
        <v>23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3EFA-13FD-4FA1-8C29-942A95809F7B}">
  <dimension ref="A1:M29"/>
  <sheetViews>
    <sheetView tabSelected="1" topLeftCell="B1" zoomScale="80" zoomScaleNormal="80" workbookViewId="0">
      <selection activeCell="M33" sqref="M33"/>
    </sheetView>
  </sheetViews>
  <sheetFormatPr defaultRowHeight="10" x14ac:dyDescent="0.2"/>
  <cols>
    <col min="1" max="1" width="14.54296875" style="10" bestFit="1" customWidth="1"/>
    <col min="2" max="2" width="11.90625" style="10" bestFit="1" customWidth="1"/>
    <col min="3" max="3" width="10.26953125" style="10" bestFit="1" customWidth="1"/>
    <col min="4" max="4" width="6.453125" style="10" bestFit="1" customWidth="1"/>
    <col min="5" max="5" width="13.6328125" style="10" bestFit="1" customWidth="1"/>
    <col min="6" max="6" width="17.1796875" style="10" bestFit="1" customWidth="1"/>
    <col min="7" max="7" width="12.6328125" style="10" bestFit="1" customWidth="1"/>
    <col min="8" max="8" width="19.6328125" style="10" bestFit="1" customWidth="1"/>
    <col min="9" max="9" width="25.08984375" style="10" bestFit="1" customWidth="1"/>
    <col min="10" max="10" width="8.7265625" style="10"/>
    <col min="11" max="11" width="8.36328125" style="10" bestFit="1" customWidth="1"/>
    <col min="12" max="12" width="19.6328125" style="10" bestFit="1" customWidth="1"/>
    <col min="13" max="13" width="23.6328125" style="10" bestFit="1" customWidth="1"/>
    <col min="14" max="16384" width="8.7265625" style="10"/>
  </cols>
  <sheetData>
    <row r="1" spans="1:13" ht="10.5" x14ac:dyDescent="0.25">
      <c r="G1" s="11" t="s">
        <v>67</v>
      </c>
      <c r="H1" s="12" t="s">
        <v>76</v>
      </c>
    </row>
    <row r="2" spans="1:13" ht="10.5" x14ac:dyDescent="0.25">
      <c r="A2" s="17" t="s">
        <v>77</v>
      </c>
      <c r="B2" s="17"/>
    </row>
    <row r="3" spans="1:13" ht="10.5" x14ac:dyDescent="0.25">
      <c r="A3" s="11" t="s">
        <v>70</v>
      </c>
      <c r="B3" s="13" t="s">
        <v>78</v>
      </c>
      <c r="G3" s="11" t="s">
        <v>70</v>
      </c>
      <c r="H3" s="13" t="s">
        <v>72</v>
      </c>
      <c r="I3" s="13" t="s">
        <v>80</v>
      </c>
      <c r="K3" s="19" t="s">
        <v>70</v>
      </c>
      <c r="L3" s="19" t="s">
        <v>72</v>
      </c>
      <c r="M3" s="19" t="s">
        <v>80</v>
      </c>
    </row>
    <row r="4" spans="1:13" x14ac:dyDescent="0.2">
      <c r="A4" s="14" t="s">
        <v>29</v>
      </c>
      <c r="B4" s="15">
        <v>3.75</v>
      </c>
      <c r="G4" s="14" t="s">
        <v>29</v>
      </c>
      <c r="H4" s="18">
        <v>2</v>
      </c>
      <c r="I4" s="18">
        <v>7.5</v>
      </c>
      <c r="K4" s="10" t="s">
        <v>29</v>
      </c>
      <c r="L4" s="10">
        <v>2</v>
      </c>
      <c r="M4" s="10">
        <v>7.5</v>
      </c>
    </row>
    <row r="5" spans="1:13" x14ac:dyDescent="0.2">
      <c r="A5" s="14" t="s">
        <v>25</v>
      </c>
      <c r="B5" s="15">
        <v>3</v>
      </c>
      <c r="G5" s="14" t="s">
        <v>25</v>
      </c>
      <c r="H5" s="18">
        <v>3</v>
      </c>
      <c r="I5" s="18">
        <v>9</v>
      </c>
      <c r="K5" s="10" t="s">
        <v>25</v>
      </c>
      <c r="L5" s="10">
        <v>3</v>
      </c>
      <c r="M5" s="10">
        <v>9</v>
      </c>
    </row>
    <row r="6" spans="1:13" x14ac:dyDescent="0.2">
      <c r="A6" s="14" t="s">
        <v>44</v>
      </c>
      <c r="B6" s="15">
        <v>8</v>
      </c>
      <c r="G6" s="14" t="s">
        <v>44</v>
      </c>
      <c r="H6" s="18">
        <v>1</v>
      </c>
      <c r="I6" s="18">
        <v>14</v>
      </c>
      <c r="K6" s="10" t="s">
        <v>44</v>
      </c>
      <c r="L6" s="10">
        <v>1</v>
      </c>
      <c r="M6" s="10">
        <v>14</v>
      </c>
    </row>
    <row r="7" spans="1:13" x14ac:dyDescent="0.2">
      <c r="A7" s="14" t="s">
        <v>12</v>
      </c>
      <c r="B7" s="15">
        <v>7.0384615384615383</v>
      </c>
      <c r="G7" s="14" t="s">
        <v>12</v>
      </c>
      <c r="H7" s="18">
        <v>6</v>
      </c>
      <c r="I7" s="18">
        <v>62</v>
      </c>
      <c r="K7" s="10" t="s">
        <v>12</v>
      </c>
      <c r="L7" s="10">
        <v>6</v>
      </c>
      <c r="M7" s="10">
        <v>62</v>
      </c>
    </row>
    <row r="8" spans="1:13" x14ac:dyDescent="0.2">
      <c r="A8" s="14" t="s">
        <v>49</v>
      </c>
      <c r="B8" s="15">
        <v>3</v>
      </c>
      <c r="G8" s="14" t="s">
        <v>69</v>
      </c>
      <c r="H8" s="18">
        <v>12</v>
      </c>
      <c r="I8" s="18">
        <v>92.5</v>
      </c>
      <c r="K8" s="10" t="s">
        <v>69</v>
      </c>
      <c r="L8" s="10">
        <v>12</v>
      </c>
      <c r="M8" s="10">
        <v>92.5</v>
      </c>
    </row>
    <row r="9" spans="1:13" x14ac:dyDescent="0.2">
      <c r="A9" s="14" t="s">
        <v>69</v>
      </c>
      <c r="B9" s="15">
        <v>5.9090909090909092</v>
      </c>
    </row>
    <row r="12" spans="1:13" x14ac:dyDescent="0.2">
      <c r="A12" s="16" t="s">
        <v>65</v>
      </c>
      <c r="B12" s="12" t="s">
        <v>15</v>
      </c>
    </row>
    <row r="14" spans="1:13" ht="10.5" x14ac:dyDescent="0.25">
      <c r="A14" s="11" t="s">
        <v>70</v>
      </c>
      <c r="B14" s="13" t="s">
        <v>71</v>
      </c>
      <c r="G14" s="11" t="s">
        <v>70</v>
      </c>
      <c r="H14" s="13" t="s">
        <v>73</v>
      </c>
      <c r="I14" s="13" t="s">
        <v>74</v>
      </c>
    </row>
    <row r="15" spans="1:13" x14ac:dyDescent="0.2">
      <c r="A15" s="14" t="s">
        <v>29</v>
      </c>
      <c r="B15" s="18">
        <v>2</v>
      </c>
      <c r="G15" s="14" t="s">
        <v>29</v>
      </c>
      <c r="H15" s="18">
        <v>0</v>
      </c>
      <c r="I15" s="18">
        <v>6.5</v>
      </c>
    </row>
    <row r="16" spans="1:13" x14ac:dyDescent="0.2">
      <c r="A16" s="14" t="s">
        <v>25</v>
      </c>
      <c r="B16" s="18">
        <v>1</v>
      </c>
      <c r="G16" s="14" t="s">
        <v>25</v>
      </c>
      <c r="H16" s="18">
        <v>1</v>
      </c>
      <c r="I16" s="18">
        <v>7</v>
      </c>
    </row>
    <row r="17" spans="1:9" x14ac:dyDescent="0.2">
      <c r="A17" s="14" t="s">
        <v>44</v>
      </c>
      <c r="B17" s="18">
        <v>1</v>
      </c>
      <c r="G17" s="14" t="s">
        <v>44</v>
      </c>
      <c r="H17" s="18">
        <v>12</v>
      </c>
      <c r="I17" s="18">
        <v>2</v>
      </c>
    </row>
    <row r="18" spans="1:9" x14ac:dyDescent="0.2">
      <c r="A18" s="14" t="s">
        <v>12</v>
      </c>
      <c r="B18" s="18">
        <v>8</v>
      </c>
      <c r="G18" s="14" t="s">
        <v>12</v>
      </c>
      <c r="H18" s="18">
        <v>57.5</v>
      </c>
      <c r="I18" s="18">
        <v>11</v>
      </c>
    </row>
    <row r="19" spans="1:9" x14ac:dyDescent="0.2">
      <c r="A19" s="14" t="s">
        <v>49</v>
      </c>
      <c r="B19" s="18">
        <v>1</v>
      </c>
      <c r="G19" s="14" t="s">
        <v>49</v>
      </c>
      <c r="H19" s="18">
        <v>0</v>
      </c>
      <c r="I19" s="18">
        <v>2</v>
      </c>
    </row>
    <row r="20" spans="1:9" x14ac:dyDescent="0.2">
      <c r="A20" s="14" t="s">
        <v>69</v>
      </c>
      <c r="B20" s="18">
        <v>13</v>
      </c>
      <c r="G20" s="14" t="s">
        <v>69</v>
      </c>
      <c r="H20" s="18">
        <v>70.5</v>
      </c>
      <c r="I20" s="18">
        <v>28.5</v>
      </c>
    </row>
    <row r="22" spans="1:9" ht="12.5" x14ac:dyDescent="0.25">
      <c r="A22" s="11" t="s">
        <v>75</v>
      </c>
      <c r="B22" s="13" t="s">
        <v>79</v>
      </c>
      <c r="C22"/>
      <c r="D22"/>
      <c r="E22"/>
      <c r="F22"/>
      <c r="G22"/>
      <c r="H22"/>
    </row>
    <row r="23" spans="1:9" ht="12.5" x14ac:dyDescent="0.25">
      <c r="A23" s="14" t="s">
        <v>33</v>
      </c>
      <c r="B23" s="18">
        <v>2</v>
      </c>
      <c r="C23"/>
      <c r="D23"/>
      <c r="E23"/>
      <c r="F23"/>
      <c r="G23"/>
      <c r="H23"/>
    </row>
    <row r="24" spans="1:9" ht="12.5" x14ac:dyDescent="0.25">
      <c r="A24" s="14" t="s">
        <v>46</v>
      </c>
      <c r="B24" s="18">
        <v>1</v>
      </c>
      <c r="C24"/>
      <c r="D24"/>
      <c r="E24"/>
      <c r="F24"/>
      <c r="G24"/>
      <c r="H24"/>
    </row>
    <row r="25" spans="1:9" x14ac:dyDescent="0.2">
      <c r="A25" s="14" t="s">
        <v>21</v>
      </c>
      <c r="B25" s="18">
        <v>1</v>
      </c>
    </row>
    <row r="26" spans="1:9" x14ac:dyDescent="0.2">
      <c r="A26" s="14" t="s">
        <v>39</v>
      </c>
      <c r="B26" s="18">
        <v>2</v>
      </c>
    </row>
    <row r="27" spans="1:9" x14ac:dyDescent="0.2">
      <c r="A27" s="14" t="s">
        <v>14</v>
      </c>
      <c r="B27" s="18">
        <v>4</v>
      </c>
    </row>
    <row r="28" spans="1:9" x14ac:dyDescent="0.2">
      <c r="A28" s="14" t="s">
        <v>30</v>
      </c>
      <c r="B28" s="18">
        <v>12</v>
      </c>
    </row>
    <row r="29" spans="1:9" x14ac:dyDescent="0.2">
      <c r="A29" s="14" t="s">
        <v>69</v>
      </c>
      <c r="B29" s="18">
        <v>22</v>
      </c>
    </row>
  </sheetData>
  <mergeCells count="1">
    <mergeCell ref="A2:B2"/>
  </mergeCells>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Pivot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2025-08-22T12:31:16Z</dcterms:modified>
</cp:coreProperties>
</file>