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 Mentor\09Aug\"/>
    </mc:Choice>
  </mc:AlternateContent>
  <xr:revisionPtr revIDLastSave="0" documentId="8_{858319ED-00E5-4552-B7BD-585358D84717}" xr6:coauthVersionLast="47" xr6:coauthVersionMax="47" xr10:uidLastSave="{00000000-0000-0000-0000-000000000000}"/>
  <bookViews>
    <workbookView xWindow="-110" yWindow="-110" windowWidth="19420" windowHeight="11020" xr2:uid="{3C8C0D2B-5DB6-4923-A8B9-E09C9402B449}"/>
  </bookViews>
  <sheets>
    <sheet name="Sheet1" sheetId="1" r:id="rId1"/>
  </sheets>
  <definedNames>
    <definedName name="_xlnm._FilterDatabase" localSheetId="0" hidden="1">Sheet1!$A$7:$H$37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<sst xmlns="http://schemas.openxmlformats.org/spreadsheetml/2006/main" count="132" uniqueCount="99">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</sst>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2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38"/>
  <sheetViews>
    <sheetView tabSelected="1" workbookViewId="0">
      <selection activeCell="H6" sqref="H6"/>
    </sheetView>
  </sheetViews>
  <sheetFormatPr defaultRowHeight="14.5" x14ac:dyDescent="0.35"/>
  <cols>
    <col min="1" max="1" width="17.453125" customWidth="1"/>
    <col min="2" max="2" width="12.90625" bestFit="1" customWidth="1"/>
    <col min="3" max="3" width="23.1796875" bestFit="1" customWidth="1"/>
    <col min="4" max="4" width="18.08984375" customWidth="1"/>
    <col min="5" max="5" width="16" bestFit="1" customWidth="1"/>
    <col min="6" max="6" width="9.08984375" customWidth="1"/>
    <col min="7" max="7" width="13.453125" bestFit="1" customWidth="1"/>
  </cols>
  <sheetData>
    <row r="1" spans="1:8" x14ac:dyDescent="0.35">
      <c r="A1" s="12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21" t="s">
        <v>98</v>
      </c>
    </row>
    <row r="4" spans="1:8" x14ac:dyDescent="0.35">
      <c r="A4" s="1" t="s">
        <v>2</v>
      </c>
      <c r="B4" s="1"/>
      <c r="C4" s="1"/>
      <c r="D4" s="1"/>
      <c r="E4" s="1"/>
      <c r="F4" s="1"/>
      <c r="G4" s="1"/>
      <c r="H4" s="22">
        <f>COUNTIFS(C8:C37,"Spanish",B8:B37,"South America")</f>
        <v>1</v>
      </c>
    </row>
    <row r="5" spans="1:8" x14ac:dyDescent="0.35">
      <c r="A5" s="1" t="s">
        <v>3</v>
      </c>
      <c r="B5" s="1"/>
      <c r="C5" s="1"/>
      <c r="D5" s="1"/>
      <c r="E5" s="1"/>
      <c r="F5" s="1"/>
      <c r="G5" s="1"/>
      <c r="H5" s="22">
        <f>COUNTIFS(D8:D37,"&gt;100000000",E8:E37,"&lt;1000000")</f>
        <v>5</v>
      </c>
    </row>
    <row r="6" spans="1:8" ht="15" thickBot="1" x14ac:dyDescent="0.4">
      <c r="A6" s="1"/>
      <c r="B6" s="1"/>
      <c r="C6" s="1"/>
      <c r="D6" s="1"/>
      <c r="E6" s="1"/>
      <c r="F6" s="1"/>
      <c r="G6" s="1"/>
      <c r="H6" s="1"/>
    </row>
    <row r="7" spans="1:8" ht="17.5" customHeight="1" x14ac:dyDescent="0.35">
      <c r="A7" s="2" t="s">
        <v>4</v>
      </c>
      <c r="B7" s="3" t="s">
        <v>5</v>
      </c>
      <c r="C7" s="13" t="s">
        <v>6</v>
      </c>
      <c r="D7" s="19" t="s">
        <v>7</v>
      </c>
      <c r="E7" s="19" t="s">
        <v>8</v>
      </c>
      <c r="F7" s="16" t="s">
        <v>9</v>
      </c>
      <c r="G7" s="4" t="s">
        <v>10</v>
      </c>
      <c r="H7" s="1"/>
    </row>
    <row r="8" spans="1:8" ht="17.5" customHeight="1" x14ac:dyDescent="0.35">
      <c r="A8" s="5" t="s">
        <v>11</v>
      </c>
      <c r="B8" s="6" t="s">
        <v>12</v>
      </c>
      <c r="C8" s="14" t="s">
        <v>13</v>
      </c>
      <c r="D8" s="20">
        <v>1397715000</v>
      </c>
      <c r="E8" s="20">
        <v>9596960</v>
      </c>
      <c r="F8" s="17" t="s">
        <v>14</v>
      </c>
      <c r="G8" s="7">
        <v>14343</v>
      </c>
      <c r="H8" s="1"/>
    </row>
    <row r="9" spans="1:8" ht="17.5" customHeight="1" x14ac:dyDescent="0.35">
      <c r="A9" s="5" t="s">
        <v>15</v>
      </c>
      <c r="B9" s="6" t="s">
        <v>12</v>
      </c>
      <c r="C9" s="14" t="s">
        <v>16</v>
      </c>
      <c r="D9" s="20">
        <v>1366417754</v>
      </c>
      <c r="E9" s="20">
        <v>3287263</v>
      </c>
      <c r="F9" s="17" t="s">
        <v>17</v>
      </c>
      <c r="G9" s="7">
        <v>2611</v>
      </c>
      <c r="H9" s="1"/>
    </row>
    <row r="10" spans="1:8" ht="17.5" customHeight="1" x14ac:dyDescent="0.35">
      <c r="A10" s="5" t="s">
        <v>18</v>
      </c>
      <c r="B10" s="6" t="s">
        <v>19</v>
      </c>
      <c r="C10" s="14" t="s">
        <v>20</v>
      </c>
      <c r="D10" s="20">
        <v>328239523</v>
      </c>
      <c r="E10" s="20">
        <v>9833517</v>
      </c>
      <c r="F10" s="17" t="s">
        <v>21</v>
      </c>
      <c r="G10" s="7">
        <v>22675</v>
      </c>
      <c r="H10" s="1"/>
    </row>
    <row r="11" spans="1:8" ht="17.5" customHeight="1" x14ac:dyDescent="0.35">
      <c r="A11" s="5" t="s">
        <v>22</v>
      </c>
      <c r="B11" s="6" t="s">
        <v>12</v>
      </c>
      <c r="C11" s="14" t="s">
        <v>23</v>
      </c>
      <c r="D11" s="20">
        <v>270203917</v>
      </c>
      <c r="E11" s="20">
        <v>1904569</v>
      </c>
      <c r="F11" s="17" t="s">
        <v>24</v>
      </c>
      <c r="G11" s="7">
        <v>1119</v>
      </c>
      <c r="H11" s="1"/>
    </row>
    <row r="12" spans="1:8" ht="17.5" customHeight="1" x14ac:dyDescent="0.35">
      <c r="A12" s="5" t="s">
        <v>25</v>
      </c>
      <c r="B12" s="6" t="s">
        <v>12</v>
      </c>
      <c r="C12" s="14" t="s">
        <v>26</v>
      </c>
      <c r="D12" s="20">
        <v>216565318</v>
      </c>
      <c r="E12" s="20">
        <v>796095</v>
      </c>
      <c r="F12" s="17" t="s">
        <v>27</v>
      </c>
      <c r="G12" s="8">
        <v>304</v>
      </c>
      <c r="H12" s="1"/>
    </row>
    <row r="13" spans="1:8" ht="17.5" customHeight="1" x14ac:dyDescent="0.35">
      <c r="A13" s="5" t="s">
        <v>28</v>
      </c>
      <c r="B13" s="6" t="s">
        <v>29</v>
      </c>
      <c r="C13" s="14" t="s">
        <v>30</v>
      </c>
      <c r="D13" s="20">
        <v>212559417</v>
      </c>
      <c r="E13" s="20">
        <v>8515770</v>
      </c>
      <c r="F13" s="17" t="s">
        <v>31</v>
      </c>
      <c r="G13" s="7">
        <v>1840</v>
      </c>
      <c r="H13" s="1"/>
    </row>
    <row r="14" spans="1:8" ht="17.5" customHeight="1" x14ac:dyDescent="0.35">
      <c r="A14" s="5" t="s">
        <v>32</v>
      </c>
      <c r="B14" s="6" t="s">
        <v>33</v>
      </c>
      <c r="C14" s="14" t="s">
        <v>20</v>
      </c>
      <c r="D14" s="20">
        <v>200963599</v>
      </c>
      <c r="E14" s="20">
        <v>923768</v>
      </c>
      <c r="F14" s="17" t="s">
        <v>34</v>
      </c>
      <c r="G14" s="8">
        <v>448</v>
      </c>
      <c r="H14" s="1"/>
    </row>
    <row r="15" spans="1:8" ht="17.5" customHeight="1" x14ac:dyDescent="0.35">
      <c r="A15" s="5" t="s">
        <v>35</v>
      </c>
      <c r="B15" s="6" t="s">
        <v>12</v>
      </c>
      <c r="C15" s="14" t="s">
        <v>36</v>
      </c>
      <c r="D15" s="20">
        <v>163046161</v>
      </c>
      <c r="E15" s="20">
        <v>148460</v>
      </c>
      <c r="F15" s="17" t="s">
        <v>37</v>
      </c>
      <c r="G15" s="8">
        <v>303</v>
      </c>
      <c r="H15" s="1"/>
    </row>
    <row r="16" spans="1:8" ht="17.5" customHeight="1" x14ac:dyDescent="0.35">
      <c r="A16" s="5" t="s">
        <v>38</v>
      </c>
      <c r="B16" s="6" t="s">
        <v>39</v>
      </c>
      <c r="C16" s="14" t="s">
        <v>40</v>
      </c>
      <c r="D16" s="20">
        <v>144373535</v>
      </c>
      <c r="E16" s="20">
        <v>17098240</v>
      </c>
      <c r="F16" s="17" t="s">
        <v>41</v>
      </c>
      <c r="G16" s="7">
        <v>1700</v>
      </c>
      <c r="H16" s="1"/>
    </row>
    <row r="17" spans="1:8" ht="17.5" customHeight="1" x14ac:dyDescent="0.35">
      <c r="A17" s="5" t="s">
        <v>42</v>
      </c>
      <c r="B17" s="6" t="s">
        <v>19</v>
      </c>
      <c r="C17" s="14" t="s">
        <v>43</v>
      </c>
      <c r="D17" s="20">
        <v>126014024</v>
      </c>
      <c r="E17" s="20">
        <v>1964375</v>
      </c>
      <c r="F17" s="17" t="s">
        <v>44</v>
      </c>
      <c r="G17" s="7">
        <v>1258</v>
      </c>
      <c r="H17" s="1"/>
    </row>
    <row r="18" spans="1:8" ht="17.5" customHeight="1" x14ac:dyDescent="0.35">
      <c r="A18" s="5" t="s">
        <v>45</v>
      </c>
      <c r="B18" s="6" t="s">
        <v>12</v>
      </c>
      <c r="C18" s="14" t="s">
        <v>46</v>
      </c>
      <c r="D18" s="20">
        <v>126264931</v>
      </c>
      <c r="E18" s="20">
        <v>377944</v>
      </c>
      <c r="F18" s="17" t="s">
        <v>47</v>
      </c>
      <c r="G18" s="7">
        <v>5082</v>
      </c>
      <c r="H18" s="1"/>
    </row>
    <row r="19" spans="1:8" ht="17.5" customHeight="1" x14ac:dyDescent="0.35">
      <c r="A19" s="5" t="s">
        <v>48</v>
      </c>
      <c r="B19" s="6" t="s">
        <v>33</v>
      </c>
      <c r="C19" s="14" t="s">
        <v>49</v>
      </c>
      <c r="D19" s="20">
        <v>112078730</v>
      </c>
      <c r="E19" s="20">
        <v>1104300</v>
      </c>
      <c r="F19" s="17" t="s">
        <v>50</v>
      </c>
      <c r="G19" s="8">
        <v>96</v>
      </c>
      <c r="H19" s="1"/>
    </row>
    <row r="20" spans="1:8" ht="17.5" customHeight="1" x14ac:dyDescent="0.35">
      <c r="A20" s="5" t="s">
        <v>51</v>
      </c>
      <c r="B20" s="6" t="s">
        <v>12</v>
      </c>
      <c r="C20" s="14" t="s">
        <v>52</v>
      </c>
      <c r="D20" s="20">
        <v>108116615</v>
      </c>
      <c r="E20" s="20">
        <v>300000</v>
      </c>
      <c r="F20" s="17" t="s">
        <v>53</v>
      </c>
      <c r="G20" s="8">
        <v>377</v>
      </c>
      <c r="H20" s="1"/>
    </row>
    <row r="21" spans="1:8" ht="17.5" customHeight="1" x14ac:dyDescent="0.35">
      <c r="A21" s="5" t="s">
        <v>54</v>
      </c>
      <c r="B21" s="6" t="s">
        <v>33</v>
      </c>
      <c r="C21" s="14" t="s">
        <v>55</v>
      </c>
      <c r="D21" s="20">
        <v>100388073</v>
      </c>
      <c r="E21" s="20">
        <v>1001450</v>
      </c>
      <c r="F21" s="17" t="s">
        <v>56</v>
      </c>
      <c r="G21" s="8">
        <v>303</v>
      </c>
      <c r="H21" s="1"/>
    </row>
    <row r="22" spans="1:8" ht="17.5" customHeight="1" x14ac:dyDescent="0.35">
      <c r="A22" s="5" t="s">
        <v>57</v>
      </c>
      <c r="B22" s="6" t="s">
        <v>12</v>
      </c>
      <c r="C22" s="14" t="s">
        <v>58</v>
      </c>
      <c r="D22" s="20">
        <v>96462106</v>
      </c>
      <c r="E22" s="20">
        <v>331210</v>
      </c>
      <c r="F22" s="17" t="s">
        <v>59</v>
      </c>
      <c r="G22" s="8">
        <v>262</v>
      </c>
      <c r="H22" s="1"/>
    </row>
    <row r="23" spans="1:8" ht="17.5" customHeight="1" x14ac:dyDescent="0.35">
      <c r="A23" s="5" t="s">
        <v>60</v>
      </c>
      <c r="B23" s="6" t="s">
        <v>33</v>
      </c>
      <c r="C23" s="14" t="s">
        <v>61</v>
      </c>
      <c r="D23" s="20">
        <v>86790567</v>
      </c>
      <c r="E23" s="20">
        <v>2344858</v>
      </c>
      <c r="F23" s="17" t="s">
        <v>62</v>
      </c>
      <c r="G23" s="8">
        <v>47</v>
      </c>
      <c r="H23" s="1"/>
    </row>
    <row r="24" spans="1:8" ht="17.5" customHeight="1" x14ac:dyDescent="0.35">
      <c r="A24" s="5" t="s">
        <v>63</v>
      </c>
      <c r="B24" s="6" t="s">
        <v>12</v>
      </c>
      <c r="C24" s="14" t="s">
        <v>64</v>
      </c>
      <c r="D24" s="20">
        <v>82913906</v>
      </c>
      <c r="E24" s="20">
        <v>1648195</v>
      </c>
      <c r="F24" s="17" t="s">
        <v>65</v>
      </c>
      <c r="G24" s="8">
        <v>445</v>
      </c>
      <c r="H24" s="1"/>
    </row>
    <row r="25" spans="1:8" ht="17.5" customHeight="1" x14ac:dyDescent="0.35">
      <c r="A25" s="5" t="s">
        <v>66</v>
      </c>
      <c r="B25" s="6" t="s">
        <v>12</v>
      </c>
      <c r="C25" s="14" t="s">
        <v>67</v>
      </c>
      <c r="D25" s="20">
        <v>83429615</v>
      </c>
      <c r="E25" s="20">
        <v>783562</v>
      </c>
      <c r="F25" s="17" t="s">
        <v>68</v>
      </c>
      <c r="G25" s="8">
        <v>754</v>
      </c>
      <c r="H25" s="1"/>
    </row>
    <row r="26" spans="1:8" ht="17.5" customHeight="1" x14ac:dyDescent="0.35">
      <c r="A26" s="5" t="s">
        <v>69</v>
      </c>
      <c r="B26" s="6" t="s">
        <v>39</v>
      </c>
      <c r="C26" s="14" t="s">
        <v>70</v>
      </c>
      <c r="D26" s="20">
        <v>83132799</v>
      </c>
      <c r="E26" s="20">
        <v>357022</v>
      </c>
      <c r="F26" s="17" t="s">
        <v>71</v>
      </c>
      <c r="G26" s="7">
        <v>3846</v>
      </c>
      <c r="H26" s="1"/>
    </row>
    <row r="27" spans="1:8" ht="17.5" customHeight="1" x14ac:dyDescent="0.35">
      <c r="A27" s="5" t="s">
        <v>72</v>
      </c>
      <c r="B27" s="6" t="s">
        <v>39</v>
      </c>
      <c r="C27" s="14" t="s">
        <v>61</v>
      </c>
      <c r="D27" s="20">
        <v>67059887</v>
      </c>
      <c r="E27" s="20">
        <v>643801</v>
      </c>
      <c r="F27" s="17" t="s">
        <v>71</v>
      </c>
      <c r="G27" s="7">
        <v>2716</v>
      </c>
      <c r="H27" s="1"/>
    </row>
    <row r="28" spans="1:8" ht="17.5" customHeight="1" x14ac:dyDescent="0.35">
      <c r="A28" s="5" t="s">
        <v>73</v>
      </c>
      <c r="B28" s="6" t="s">
        <v>39</v>
      </c>
      <c r="C28" s="14" t="s">
        <v>20</v>
      </c>
      <c r="D28" s="20">
        <v>66834405</v>
      </c>
      <c r="E28" s="20">
        <v>243610</v>
      </c>
      <c r="F28" s="17" t="s">
        <v>74</v>
      </c>
      <c r="G28" s="7">
        <v>2827</v>
      </c>
      <c r="H28" s="1"/>
    </row>
    <row r="29" spans="1:8" ht="17.5" customHeight="1" x14ac:dyDescent="0.35">
      <c r="A29" s="5" t="s">
        <v>75</v>
      </c>
      <c r="B29" s="6" t="s">
        <v>12</v>
      </c>
      <c r="C29" s="14" t="s">
        <v>76</v>
      </c>
      <c r="D29" s="20">
        <v>69625582</v>
      </c>
      <c r="E29" s="20">
        <v>513120</v>
      </c>
      <c r="F29" s="17" t="s">
        <v>77</v>
      </c>
      <c r="G29" s="8">
        <v>544</v>
      </c>
      <c r="H29" s="1"/>
    </row>
    <row r="30" spans="1:8" ht="17.5" customHeight="1" x14ac:dyDescent="0.35">
      <c r="A30" s="5" t="s">
        <v>78</v>
      </c>
      <c r="B30" s="6" t="s">
        <v>33</v>
      </c>
      <c r="C30" s="14" t="s">
        <v>79</v>
      </c>
      <c r="D30" s="20">
        <v>58558270</v>
      </c>
      <c r="E30" s="20">
        <v>1219090</v>
      </c>
      <c r="F30" s="17" t="s">
        <v>80</v>
      </c>
      <c r="G30" s="8">
        <v>351</v>
      </c>
      <c r="H30" s="1"/>
    </row>
    <row r="31" spans="1:8" ht="17.5" customHeight="1" x14ac:dyDescent="0.35">
      <c r="A31" s="5" t="s">
        <v>81</v>
      </c>
      <c r="B31" s="6" t="s">
        <v>33</v>
      </c>
      <c r="C31" s="14" t="s">
        <v>82</v>
      </c>
      <c r="D31" s="20">
        <v>58005463</v>
      </c>
      <c r="E31" s="20">
        <v>947300</v>
      </c>
      <c r="F31" s="17" t="s">
        <v>83</v>
      </c>
      <c r="G31" s="8">
        <v>63</v>
      </c>
      <c r="H31" s="1"/>
    </row>
    <row r="32" spans="1:8" ht="17.5" customHeight="1" x14ac:dyDescent="0.35">
      <c r="A32" s="5" t="s">
        <v>84</v>
      </c>
      <c r="B32" s="6" t="s">
        <v>39</v>
      </c>
      <c r="C32" s="14" t="s">
        <v>85</v>
      </c>
      <c r="D32" s="20">
        <v>60297396</v>
      </c>
      <c r="E32" s="20">
        <v>301340</v>
      </c>
      <c r="F32" s="17" t="s">
        <v>71</v>
      </c>
      <c r="G32" s="7">
        <v>2001</v>
      </c>
      <c r="H32" s="1"/>
    </row>
    <row r="33" spans="1:8" ht="17.5" customHeight="1" x14ac:dyDescent="0.35">
      <c r="A33" s="5" t="s">
        <v>86</v>
      </c>
      <c r="B33" s="6" t="s">
        <v>12</v>
      </c>
      <c r="C33" s="14" t="s">
        <v>87</v>
      </c>
      <c r="D33" s="20">
        <v>54045420</v>
      </c>
      <c r="E33" s="20">
        <v>676578</v>
      </c>
      <c r="F33" s="17" t="s">
        <v>88</v>
      </c>
      <c r="G33" s="8">
        <v>76</v>
      </c>
      <c r="H33" s="1"/>
    </row>
    <row r="34" spans="1:8" ht="17.5" customHeight="1" x14ac:dyDescent="0.35">
      <c r="A34" s="5" t="s">
        <v>89</v>
      </c>
      <c r="B34" s="6" t="s">
        <v>12</v>
      </c>
      <c r="C34" s="14" t="s">
        <v>90</v>
      </c>
      <c r="D34" s="20">
        <v>51709098</v>
      </c>
      <c r="E34" s="20">
        <v>99720</v>
      </c>
      <c r="F34" s="17" t="s">
        <v>91</v>
      </c>
      <c r="G34" s="7">
        <v>2029</v>
      </c>
      <c r="H34" s="1"/>
    </row>
    <row r="35" spans="1:8" ht="17.5" customHeight="1" x14ac:dyDescent="0.35">
      <c r="A35" s="5" t="s">
        <v>92</v>
      </c>
      <c r="B35" s="6" t="s">
        <v>29</v>
      </c>
      <c r="C35" s="14" t="s">
        <v>43</v>
      </c>
      <c r="D35" s="20">
        <v>50339443</v>
      </c>
      <c r="E35" s="20">
        <v>1138910</v>
      </c>
      <c r="F35" s="17" t="s">
        <v>93</v>
      </c>
      <c r="G35" s="8">
        <v>324</v>
      </c>
      <c r="H35" s="1"/>
    </row>
    <row r="36" spans="1:8" ht="17.5" customHeight="1" x14ac:dyDescent="0.35">
      <c r="A36" s="5" t="s">
        <v>94</v>
      </c>
      <c r="B36" s="6" t="s">
        <v>33</v>
      </c>
      <c r="C36" s="14" t="s">
        <v>95</v>
      </c>
      <c r="D36" s="20">
        <v>52573973</v>
      </c>
      <c r="E36" s="20">
        <v>580367</v>
      </c>
      <c r="F36" s="17" t="s">
        <v>96</v>
      </c>
      <c r="G36" s="8">
        <v>96</v>
      </c>
      <c r="H36" s="1"/>
    </row>
    <row r="37" spans="1:8" ht="17.5" customHeight="1" thickBot="1" x14ac:dyDescent="0.4">
      <c r="A37" s="9" t="s">
        <v>97</v>
      </c>
      <c r="B37" s="10" t="s">
        <v>39</v>
      </c>
      <c r="C37" s="15" t="s">
        <v>43</v>
      </c>
      <c r="D37" s="20">
        <v>47076781</v>
      </c>
      <c r="E37" s="20">
        <v>505370</v>
      </c>
      <c r="F37" s="18" t="s">
        <v>71</v>
      </c>
      <c r="G37" s="11">
        <v>1394</v>
      </c>
      <c r="H37" s="1"/>
    </row>
    <row r="38" spans="1:8" x14ac:dyDescent="0.35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DELL</cp:lastModifiedBy>
  <dcterms:created xsi:type="dcterms:W3CDTF">2022-09-18T18:00:54Z</dcterms:created>
  <dcterms:modified xsi:type="dcterms:W3CDTF">2025-08-18T13:33:43Z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