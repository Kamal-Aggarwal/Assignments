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op Mentor\27July\"/>
    </mc:Choice>
  </mc:AlternateContent>
  <xr:revisionPtr revIDLastSave="0" documentId="13_ncr:1_{320B403F-088B-4F7C-BA85-504ABE78F24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Form Responses 1" sheetId="1" r:id="rId1"/>
    <sheet name="Pivot Table" sheetId="2" r:id="rId2"/>
  </sheets>
  <calcPr calcId="191029"/>
  <pivotCaches>
    <pivotCache cacheId="154" r:id="rId3"/>
    <pivotCache cacheId="176" r:id="rId4"/>
  </pivotCaches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<sst xmlns="http://schemas.openxmlformats.org/spreadsheetml/2006/main" count="284" uniqueCount="79">
  <si>
    <t>Name</t>
  </si>
  <si>
    <t>Gender</t>
  </si>
  <si>
    <t>Age Group (years)</t>
  </si>
  <si>
    <t>Frequency of eating out (in a month)</t>
  </si>
  <si>
    <t>Reason for eating out</t>
  </si>
  <si>
    <t>Type of Food usually consumed (e.g. North / South Indian, Chinese, Street food etc.)</t>
  </si>
  <si>
    <t>Monthly Spending on eating out (INR)</t>
  </si>
  <si>
    <t>Health Concerns of Eating out</t>
  </si>
  <si>
    <t>Do you want to change your habit of eating out?</t>
  </si>
  <si>
    <t>Kamal Aggarwal</t>
  </si>
  <si>
    <t>Male</t>
  </si>
  <si>
    <t>31 - 50</t>
  </si>
  <si>
    <t>Family Outing, Business Meetings</t>
  </si>
  <si>
    <t>North Indian</t>
  </si>
  <si>
    <t>Restaurants</t>
  </si>
  <si>
    <t>3001 - 4000</t>
  </si>
  <si>
    <t>Homemade food is better</t>
  </si>
  <si>
    <t>Not sure</t>
  </si>
  <si>
    <t>Aayush</t>
  </si>
  <si>
    <t>6 - 10</t>
  </si>
  <si>
    <t>Family Outing</t>
  </si>
  <si>
    <t>1001 - 2000</t>
  </si>
  <si>
    <t>No</t>
  </si>
  <si>
    <t>Arnika</t>
  </si>
  <si>
    <t>Female</t>
  </si>
  <si>
    <t>0 - 5</t>
  </si>
  <si>
    <t>North Indian, Chinese</t>
  </si>
  <si>
    <t>Non veg</t>
  </si>
  <si>
    <t>0 - 500</t>
  </si>
  <si>
    <t xml:space="preserve">Bhavya </t>
  </si>
  <si>
    <t xml:space="preserve">Mamtha </t>
  </si>
  <si>
    <t xml:space="preserve">Homemade </t>
  </si>
  <si>
    <t>Chhaya Aggarwal</t>
  </si>
  <si>
    <t xml:space="preserve">South Indian </t>
  </si>
  <si>
    <t>Homemade</t>
  </si>
  <si>
    <t>Yes</t>
  </si>
  <si>
    <t xml:space="preserve">K Somasundaram </t>
  </si>
  <si>
    <t xml:space="preserve">South indian,North indian </t>
  </si>
  <si>
    <t xml:space="preserve">Arti Tekchandani </t>
  </si>
  <si>
    <t>North/South Indian</t>
  </si>
  <si>
    <t xml:space="preserve">Omprakash Tekchandani </t>
  </si>
  <si>
    <t xml:space="preserve">Dhiren Tekchandani </t>
  </si>
  <si>
    <t>11 - 18</t>
  </si>
  <si>
    <t>MK</t>
  </si>
  <si>
    <t>65+</t>
  </si>
  <si>
    <t>Family Outing, Family Functions / Outing with Friends</t>
  </si>
  <si>
    <t>Salochana</t>
  </si>
  <si>
    <t>Kavin</t>
  </si>
  <si>
    <t>North Indian, Street Food</t>
  </si>
  <si>
    <t>Restaurants, Food Apps</t>
  </si>
  <si>
    <t>Like both</t>
  </si>
  <si>
    <t>Deepika</t>
  </si>
  <si>
    <t>Family Outing, Business Meetings, Family Functions / Outing with Friends</t>
  </si>
  <si>
    <t>2001 - 3000</t>
  </si>
  <si>
    <t>Sandeep</t>
  </si>
  <si>
    <t>4001 - 6000</t>
  </si>
  <si>
    <t>Mohit</t>
  </si>
  <si>
    <t>8 - 11 times</t>
  </si>
  <si>
    <t>Restaurants, Street Vendors</t>
  </si>
  <si>
    <t>4 - 7 times</t>
  </si>
  <si>
    <t>1 - 3 times</t>
  </si>
  <si>
    <t xml:space="preserve">Lavanya </t>
  </si>
  <si>
    <t>South Indian</t>
  </si>
  <si>
    <t>Sulabh</t>
  </si>
  <si>
    <t>Divya</t>
  </si>
  <si>
    <t>Navita</t>
  </si>
  <si>
    <t>Liking - Homemade vs Outside Food</t>
  </si>
  <si>
    <t>Outside Food</t>
  </si>
  <si>
    <t>Grand Total</t>
  </si>
  <si>
    <t>Frequency of eating out in a month</t>
  </si>
  <si>
    <t>Frequency</t>
  </si>
  <si>
    <t>Count</t>
  </si>
  <si>
    <t>Food Preference</t>
  </si>
  <si>
    <t>Health Concern of Eating out</t>
  </si>
  <si>
    <t>Average Spending</t>
  </si>
  <si>
    <t>Average Spending on eating out</t>
  </si>
  <si>
    <t>Age Group / Frequency of eating out</t>
  </si>
  <si>
    <t>Food Source</t>
  </si>
  <si>
    <t>Health Concern / Frequency of eating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</si>
</sst>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3" xfId="0" applyBorder="1" applyAlignment="1">
      <alignment horizontal="left"/>
    </xf>
    <xf numFmtId="0" fontId="0" fillId="0" borderId="5" xfId="0" applyNumberFormat="1" applyBorder="1"/>
    <xf numFmtId="0" fontId="0" fillId="0" borderId="7" xfId="0" applyBorder="1" applyAlignment="1">
      <alignment horizontal="left"/>
    </xf>
    <xf numFmtId="0" fontId="0" fillId="0" borderId="6" xfId="0" applyNumberFormat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8" xfId="0" applyBorder="1"/>
    <xf numFmtId="0" fontId="2" fillId="0" borderId="9" xfId="0" applyFont="1" applyBorder="1"/>
    <xf numFmtId="0" fontId="0" fillId="2" borderId="8" xfId="0" applyFill="1" applyBorder="1"/>
    <xf numFmtId="0" fontId="3" fillId="3" borderId="1" xfId="0" applyFont="1" applyFill="1" applyBorder="1"/>
    <xf numFmtId="0" fontId="0" fillId="0" borderId="3" xfId="0" applyBorder="1" applyAlignment="1">
      <alignment horizontal="left" indent="1"/>
    </xf>
    <xf numFmtId="0" fontId="3" fillId="0" borderId="2" xfId="0" pivotButton="1" applyFont="1" applyBorder="1"/>
    <xf numFmtId="0" fontId="3" fillId="0" borderId="4" xfId="0" applyFont="1" applyBorder="1"/>
    <xf numFmtId="0" fontId="3" fillId="0" borderId="1" xfId="0" pivotButton="1" applyFont="1" applyBorder="1"/>
    <xf numFmtId="0" fontId="3" fillId="0" borderId="1" xfId="0" applyFont="1" applyBorder="1"/>
    <xf numFmtId="0" fontId="3" fillId="0" borderId="4" xfId="0" applyNumberFormat="1" applyFont="1" applyBorder="1"/>
    <xf numFmtId="0" fontId="3" fillId="0" borderId="5" xfId="0" applyNumberFormat="1" applyFont="1" applyBorder="1"/>
  </cellXfs>
  <cellStyles count="1">
    <cellStyle name="Normal" xfId="0" builtinId="0"/>
  </cellStyles>
  <dxfs count="51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50"/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[Eating Out Habits and Health Awareness.xlsx]Pivot Table!PivotTable60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effectLst/>
              </a:rPr>
              <a:t>Frequency of eating out by age group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Table'!$M$4:$M$16</c:f>
              <c:multiLvlStrCache>
                <c:ptCount val="7"/>
                <c:lvl>
                  <c:pt idx="0">
                    <c:v>4 - 7 times</c:v>
                  </c:pt>
                  <c:pt idx="1">
                    <c:v>4 - 7 times</c:v>
                  </c:pt>
                  <c:pt idx="2">
                    <c:v>1 - 3 times</c:v>
                  </c:pt>
                  <c:pt idx="3">
                    <c:v>4 - 7 times</c:v>
                  </c:pt>
                  <c:pt idx="4">
                    <c:v>8 - 11 times</c:v>
                  </c:pt>
                  <c:pt idx="5">
                    <c:v>4 - 7 times</c:v>
                  </c:pt>
                  <c:pt idx="6">
                    <c:v>1 - 3 times</c:v>
                  </c:pt>
                </c:lvl>
                <c:lvl>
                  <c:pt idx="0">
                    <c:v>0 - 5</c:v>
                  </c:pt>
                  <c:pt idx="1">
                    <c:v>11 - 18</c:v>
                  </c:pt>
                  <c:pt idx="2">
                    <c:v>31 - 50</c:v>
                  </c:pt>
                  <c:pt idx="5">
                    <c:v>6 - 10</c:v>
                  </c:pt>
                  <c:pt idx="6">
                    <c:v>65+</c:v>
                  </c:pt>
                </c:lvl>
              </c:multiLvlStrCache>
            </c:multiLvlStrRef>
          </c:cat>
          <c:val>
            <c:numRef>
              <c:f>'Pivot Table'!$N$4:$N$16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7-47F7-A2D7-2F5A1193A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553631"/>
        <c:axId val="418526751"/>
      </c:barChart>
      <c:catAx>
        <c:axId val="41855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26751"/>
        <c:crosses val="autoZero"/>
        <c:auto val="1"/>
        <c:lblAlgn val="ctr"/>
        <c:lblOffset val="100"/>
        <c:noMultiLvlLbl val="0"/>
      </c:catAx>
      <c:valAx>
        <c:axId val="41852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[Eating Out Habits and Health Awareness.xlsx]Pivot Table!PivotTable61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Food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Table'!$A$17:$A$20</c:f>
              <c:strCache>
                <c:ptCount val="3"/>
                <c:pt idx="0">
                  <c:v>Restaurants</c:v>
                </c:pt>
                <c:pt idx="1">
                  <c:v>Restaurants, Food Apps</c:v>
                </c:pt>
                <c:pt idx="2">
                  <c:v>Restaurants, Street Vendors</c:v>
                </c:pt>
              </c:strCache>
            </c:strRef>
          </c:cat>
          <c:val>
            <c:numRef>
              <c:f>'Pivot Table'!$B$17:$B$20</c:f>
              <c:numCache>
                <c:formatCode>General</c:formatCode>
                <c:ptCount val="3"/>
                <c:pt idx="0">
                  <c:v>15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9-471E-A086-F6A59E7B5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[Eating Out Habits and Health Awareness.xlsx]Pivot Table!PivotTable58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Health concerns vs frequency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Table'!$G$4:$G$11</c:f>
              <c:multiLvlStrCache>
                <c:ptCount val="5"/>
                <c:lvl>
                  <c:pt idx="0">
                    <c:v>1 - 3 times</c:v>
                  </c:pt>
                  <c:pt idx="1">
                    <c:v>4 - 7 times</c:v>
                  </c:pt>
                  <c:pt idx="2">
                    <c:v>8 - 11 times</c:v>
                  </c:pt>
                  <c:pt idx="3">
                    <c:v>4 - 7 times</c:v>
                  </c:pt>
                  <c:pt idx="4">
                    <c:v>8 - 11 times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'Pivot Table'!$H$4:$H$11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6-4D3D-8EF2-E1031838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576191"/>
        <c:axId val="418556511"/>
      </c:barChart>
      <c:catAx>
        <c:axId val="41857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56511"/>
        <c:crosses val="autoZero"/>
        <c:auto val="1"/>
        <c:lblAlgn val="ctr"/>
        <c:lblOffset val="100"/>
        <c:noMultiLvlLbl val="0"/>
      </c:catAx>
      <c:valAx>
        <c:axId val="41855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7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163846</xdr:colOff>
      <xdr:row>17</xdr:row>
      <xdr:rowOff>23832</xdr:rowOff>
    </xdr:from>
    <xdr:to>
      <xdr:col>15</xdr:col>
      <xdr:colOff>471155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C31A2-1680-E058-0A57-DDCA89261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124648</xdr:colOff>
      <xdr:row>21</xdr:row>
      <xdr:rowOff>110066</xdr:rowOff>
    </xdr:from>
    <xdr:to>
      <xdr:col>4</xdr:col>
      <xdr:colOff>47742</xdr:colOff>
      <xdr:row>39</xdr:row>
      <xdr:rowOff>31044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E6FB6-5ABD-F8EC-49A9-B665C0183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422550</xdr:colOff>
      <xdr:row>12</xdr:row>
      <xdr:rowOff>55189</xdr:rowOff>
    </xdr:from>
    <xdr:to>
      <xdr:col>9</xdr:col>
      <xdr:colOff>612266</xdr:colOff>
      <xdr:row>29</xdr:row>
      <xdr:rowOff>125118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4EE64E-2E4F-FA37-59A7-030A4E8A0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91.791896064817" createdVersion="8" refreshedVersion="8" minRefreshableVersion="3" recordCount="20" xr:uid="{4BF24EB0-B38B-4BA8-AACF-611E32203312}">
  <cacheSource type="worksheet">
    <worksheetSource ref="A1:K21" sheet="Form Responses 1"/>
  </cacheSource>
  <cacheFields count="11">
    <cacheField name="Name" numFmtId="0">
      <sharedItems/>
    </cacheField>
    <cacheField name="Gender" numFmtId="0">
      <sharedItems/>
    </cacheField>
    <cacheField name="Age Group (years)" numFmtId="0">
      <sharedItems/>
    </cacheField>
    <cacheField name="Frequency of eating out (in a month)" numFmtId="0">
      <sharedItems count="3">
        <s v="8 - 11 times"/>
        <s v="4 - 7 times"/>
        <s v="1 - 3 times"/>
      </sharedItems>
    </cacheField>
    <cacheField name="Reason for eating out" numFmtId="0">
      <sharedItems/>
    </cacheField>
    <cacheField name="Type of Food usually consumed (e.g. North / South Indian, Chinese, Street food etc.)" numFmtId="0">
      <sharedItems count="8">
        <s v="North Indian"/>
        <s v="North Indian, Chinese"/>
        <s v="Non veg"/>
        <s v="South Indian"/>
        <s v="South Indian "/>
        <s v="South indian,North indian "/>
        <s v="North/South Indian"/>
        <s v="North Indian, Street Food"/>
      </sharedItems>
    </cacheField>
    <cacheField name="Preferences (restaurants, cafes, street vendors, food apps, etc.) " numFmtId="0">
      <sharedItems/>
    </cacheField>
    <cacheField name="Monthly Spending on eating out (INR)" numFmtId="0">
      <sharedItems/>
    </cacheField>
    <cacheField name="Health Concerns of Eating out" numFmtId="0">
      <sharedItems count="4">
        <s v="Yes"/>
        <s v="No"/>
        <s v="Food poisioning" u="1"/>
        <s v="Weight Increase" u="1"/>
      </sharedItems>
    </cacheField>
    <cacheField name="Liking - Homemade vs Outside Food" numFmtId="0">
      <sharedItems/>
    </cacheField>
    <cacheField name="Do you want to change your habit of eating out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91.896453125002" createdVersion="8" refreshedVersion="8" minRefreshableVersion="3" recordCount="20" xr:uid="{D176E1F1-8C4F-42E2-9CC8-4D8C2A7E9D83}">
  <cacheSource type="worksheet">
    <worksheetSource name="Form_Responses"/>
  </cacheSource>
  <cacheFields count="12">
    <cacheField name="Name" numFmtId="0">
      <sharedItems/>
    </cacheField>
    <cacheField name="Gender" numFmtId="0">
      <sharedItems/>
    </cacheField>
    <cacheField name="Age Group (years)" numFmtId="0">
      <sharedItems count="5">
        <s v="31 - 50"/>
        <s v="6 - 10"/>
        <s v="0 - 5"/>
        <s v="11 - 18"/>
        <s v="65+"/>
      </sharedItems>
    </cacheField>
    <cacheField name="Frequency of eating out (in a month)" numFmtId="0">
      <sharedItems count="3">
        <s v="8 - 11 times"/>
        <s v="4 - 7 times"/>
        <s v="1 - 3 times"/>
      </sharedItems>
    </cacheField>
    <cacheField name="Reason for eating out" numFmtId="0">
      <sharedItems/>
    </cacheField>
    <cacheField name="Type of Food usually consumed (e.g. North / South Indian, Chinese, Street food etc.)" numFmtId="0">
      <sharedItems/>
    </cacheField>
    <cacheField name="Food Source" numFmtId="0">
      <sharedItems count="4">
        <s v="Restaurants"/>
        <s v="Restaurants, Street Vendors"/>
        <s v="Restaurants, Food Apps"/>
        <s v="Restaurants " u="1"/>
      </sharedItems>
    </cacheField>
    <cacheField name="Monthly Spending on eating out (INR)" numFmtId="0">
      <sharedItems/>
    </cacheField>
    <cacheField name="Health Concerns of Eating out" numFmtId="0">
      <sharedItems/>
    </cacheField>
    <cacheField name="Liking - Homemade vs Outside Food" numFmtId="0">
      <sharedItems/>
    </cacheField>
    <cacheField name="Do you want to change your habit of eating out?" numFmtId="0">
      <sharedItems/>
    </cacheField>
    <cacheField name="Average Spending" numFmtId="0">
      <sharedItems containsSemiMixedTypes="0" containsString="0" containsNumber="1" containsInteger="1" minValue="25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Kamal Aggarwal"/>
    <s v="Male"/>
    <s v="31 - 50"/>
    <x v="0"/>
    <s v="Family Outing, Business Meetings"/>
    <x v="0"/>
    <s v="Restaurants"/>
    <s v="3001 - 4000"/>
    <x v="0"/>
    <s v="Homemade food is better"/>
    <s v="Yes"/>
  </r>
  <r>
    <s v="Aayush"/>
    <s v="Male"/>
    <s v="6 - 10"/>
    <x v="1"/>
    <s v="Family Outing"/>
    <x v="0"/>
    <s v="Restaurants"/>
    <s v="1001 - 2000"/>
    <x v="1"/>
    <s v="Outside Food"/>
    <s v="No"/>
  </r>
  <r>
    <s v="Arnika"/>
    <s v="Female"/>
    <s v="0 - 5"/>
    <x v="1"/>
    <s v="Family Outing"/>
    <x v="1"/>
    <s v="Restaurants"/>
    <s v="1001 - 2000"/>
    <x v="1"/>
    <s v="Outside Food"/>
    <s v="No"/>
  </r>
  <r>
    <s v="Lavanya "/>
    <s v="Female"/>
    <s v="31 - 50"/>
    <x v="1"/>
    <s v="Family Outing"/>
    <x v="2"/>
    <s v="Restaurants "/>
    <s v="1001 - 2000"/>
    <x v="1"/>
    <s v="Like both"/>
    <s v="Not sure"/>
  </r>
  <r>
    <s v="Bhavya "/>
    <s v="Female"/>
    <s v="31 - 50"/>
    <x v="2"/>
    <s v="Family Outing"/>
    <x v="3"/>
    <s v="Restaurants "/>
    <s v="2001 - 3000"/>
    <x v="1"/>
    <s v="Homemade "/>
    <s v="Not sure"/>
  </r>
  <r>
    <s v="Mamtha "/>
    <s v="Female"/>
    <s v="31 - 50"/>
    <x v="2"/>
    <s v="Family Outing"/>
    <x v="0"/>
    <s v="Restaurants "/>
    <s v="2001 - 3000"/>
    <x v="1"/>
    <s v="Homemade "/>
    <s v="No"/>
  </r>
  <r>
    <s v="Chhaya Aggarwal"/>
    <s v="Female"/>
    <s v="31 - 50"/>
    <x v="1"/>
    <s v="Family Outing"/>
    <x v="4"/>
    <s v="Restaurants "/>
    <s v="1001 - 2000"/>
    <x v="0"/>
    <s v="Homemade"/>
    <s v="Yes"/>
  </r>
  <r>
    <s v="K Somasundaram "/>
    <s v="Male"/>
    <s v="31 - 50"/>
    <x v="1"/>
    <s v="Family Outing"/>
    <x v="5"/>
    <s v="Restaurants "/>
    <s v="1001 - 2000"/>
    <x v="0"/>
    <s v="Homemade"/>
    <s v="Not sure"/>
  </r>
  <r>
    <s v="Arti Tekchandani "/>
    <s v="Female"/>
    <s v="31 - 50"/>
    <x v="1"/>
    <s v="Family Outing"/>
    <x v="6"/>
    <s v="Restaurants "/>
    <s v="2001 - 3000"/>
    <x v="1"/>
    <s v="Homemade"/>
    <s v="No"/>
  </r>
  <r>
    <s v="Omprakash Tekchandani "/>
    <s v="Male"/>
    <s v="31 - 50"/>
    <x v="1"/>
    <s v="Family Outing, Business Meetings"/>
    <x v="6"/>
    <s v="Restaurants "/>
    <s v="3001 - 4000"/>
    <x v="1"/>
    <s v="Homemade"/>
    <s v="No"/>
  </r>
  <r>
    <s v="Dhiren Tekchandani "/>
    <s v="Male"/>
    <s v="11 - 18"/>
    <x v="1"/>
    <s v="Family Outing"/>
    <x v="5"/>
    <s v="Restaurants "/>
    <s v="1001 - 2000"/>
    <x v="1"/>
    <s v="Homemade"/>
    <s v="No"/>
  </r>
  <r>
    <s v="MK"/>
    <s v="Male"/>
    <s v="65+"/>
    <x v="2"/>
    <s v="Family Outing, Family Functions / Outing with Friends"/>
    <x v="0"/>
    <s v="Restaurants "/>
    <s v="0 - 500"/>
    <x v="1"/>
    <s v="Homemade"/>
    <s v="Not sure"/>
  </r>
  <r>
    <s v="Salochana"/>
    <s v="Female"/>
    <s v="65+"/>
    <x v="2"/>
    <s v="Family Outing, Family Functions / Outing with Friends"/>
    <x v="0"/>
    <s v="Restaurants "/>
    <s v="0 - 500"/>
    <x v="1"/>
    <s v="Homemade"/>
    <s v="Not sure"/>
  </r>
  <r>
    <s v="Kavin"/>
    <s v="Male"/>
    <s v="11 - 18"/>
    <x v="1"/>
    <s v="Family Outing, Family Functions / Outing with Friends"/>
    <x v="7"/>
    <s v="Restaurants, Food Apps"/>
    <s v="3001 - 4000"/>
    <x v="1"/>
    <s v="Like both"/>
    <s v="No"/>
  </r>
  <r>
    <s v="Deepika"/>
    <s v="Female"/>
    <s v="31 - 50"/>
    <x v="1"/>
    <s v="Family Outing, Business Meetings, Family Functions / Outing with Friends"/>
    <x v="0"/>
    <s v="Restaurants "/>
    <s v="3001 - 4000"/>
    <x v="0"/>
    <s v="Homemade"/>
    <s v="Not sure"/>
  </r>
  <r>
    <s v="Sandeep"/>
    <s v="Male"/>
    <s v="31 - 50"/>
    <x v="0"/>
    <s v="Family Outing, Business Meetings, Family Functions / Outing with Friends"/>
    <x v="0"/>
    <s v="Restaurants "/>
    <s v="4001 - 6000"/>
    <x v="1"/>
    <s v="Homemade "/>
    <s v="Not sure"/>
  </r>
  <r>
    <s v="Mohit"/>
    <s v="Male"/>
    <s v="31 - 50"/>
    <x v="0"/>
    <s v="Family Outing, Business Meetings, Family Functions / Outing with Friends"/>
    <x v="7"/>
    <s v="Restaurants, Street Vendors"/>
    <s v="3001 - 4000"/>
    <x v="0"/>
    <s v="Like both"/>
    <s v="No"/>
  </r>
  <r>
    <s v="Sulabh"/>
    <s v="Male"/>
    <s v="31 - 50"/>
    <x v="0"/>
    <s v="Family Outing, Business Meetings, Family Functions / Outing with Friends"/>
    <x v="7"/>
    <s v="Restaurants, Street Vendors"/>
    <s v="3001 - 4000"/>
    <x v="0"/>
    <s v="Like both"/>
    <s v="No"/>
  </r>
  <r>
    <s v="Divya"/>
    <s v="Female"/>
    <s v="31 - 50"/>
    <x v="1"/>
    <s v="Family Outing"/>
    <x v="7"/>
    <s v="Restaurants, Street Vendors"/>
    <s v="1001 - 2000"/>
    <x v="0"/>
    <s v="Like both"/>
    <s v="No"/>
  </r>
  <r>
    <s v="Navita"/>
    <s v="Female"/>
    <s v="31 - 50"/>
    <x v="1"/>
    <s v="Family Outing"/>
    <x v="7"/>
    <s v="Restaurants, Street Vendors"/>
    <s v="1001 - 2000"/>
    <x v="0"/>
    <s v="Like both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Kamal Aggarwal"/>
    <s v="Male"/>
    <x v="0"/>
    <x v="0"/>
    <s v="Family Outing, Business Meetings"/>
    <s v="North Indian"/>
    <x v="0"/>
    <s v="3001 - 4000"/>
    <s v="Yes"/>
    <s v="Homemade food is better"/>
    <s v="Yes"/>
    <n v="3500"/>
  </r>
  <r>
    <s v="Aayush"/>
    <s v="Male"/>
    <x v="1"/>
    <x v="1"/>
    <s v="Family Outing"/>
    <s v="North Indian"/>
    <x v="0"/>
    <s v="1001 - 2000"/>
    <s v="No"/>
    <s v="Outside Food"/>
    <s v="No"/>
    <n v="1500"/>
  </r>
  <r>
    <s v="Arnika"/>
    <s v="Female"/>
    <x v="2"/>
    <x v="1"/>
    <s v="Family Outing"/>
    <s v="North Indian, Chinese"/>
    <x v="0"/>
    <s v="1001 - 2000"/>
    <s v="No"/>
    <s v="Outside Food"/>
    <s v="No"/>
    <n v="1500"/>
  </r>
  <r>
    <s v="Lavanya "/>
    <s v="Female"/>
    <x v="0"/>
    <x v="1"/>
    <s v="Family Outing"/>
    <s v="Non veg"/>
    <x v="0"/>
    <s v="1001 - 2000"/>
    <s v="No"/>
    <s v="Like both"/>
    <s v="Not sure"/>
    <n v="1500"/>
  </r>
  <r>
    <s v="Bhavya "/>
    <s v="Female"/>
    <x v="0"/>
    <x v="2"/>
    <s v="Family Outing"/>
    <s v="South Indian"/>
    <x v="0"/>
    <s v="2001 - 3000"/>
    <s v="No"/>
    <s v="Homemade "/>
    <s v="Not sure"/>
    <n v="2500"/>
  </r>
  <r>
    <s v="Mamtha "/>
    <s v="Female"/>
    <x v="0"/>
    <x v="2"/>
    <s v="Family Outing"/>
    <s v="North Indian"/>
    <x v="0"/>
    <s v="2001 - 3000"/>
    <s v="No"/>
    <s v="Homemade "/>
    <s v="No"/>
    <n v="2500"/>
  </r>
  <r>
    <s v="Sulabh"/>
    <s v="Male"/>
    <x v="0"/>
    <x v="0"/>
    <s v="Family Outing, Business Meetings, Family Functions / Outing with Friends"/>
    <s v="North Indian, Street Food"/>
    <x v="1"/>
    <s v="3001 - 4000"/>
    <s v="Yes"/>
    <s v="Like both"/>
    <s v="No"/>
    <n v="3500"/>
  </r>
  <r>
    <s v="Divya"/>
    <s v="Female"/>
    <x v="0"/>
    <x v="1"/>
    <s v="Family Outing"/>
    <s v="North Indian, Street Food"/>
    <x v="1"/>
    <s v="1001 - 2000"/>
    <s v="Yes"/>
    <s v="Like both"/>
    <s v="No"/>
    <n v="1500"/>
  </r>
  <r>
    <s v="Navita"/>
    <s v="Female"/>
    <x v="0"/>
    <x v="1"/>
    <s v="Family Outing"/>
    <s v="North Indian, Street Food"/>
    <x v="1"/>
    <s v="1001 - 2000"/>
    <s v="Yes"/>
    <s v="Like both"/>
    <s v="No"/>
    <n v="1500"/>
  </r>
  <r>
    <s v="Chhaya Aggarwal"/>
    <s v="Female"/>
    <x v="0"/>
    <x v="1"/>
    <s v="Family Outing"/>
    <s v="South Indian "/>
    <x v="0"/>
    <s v="1001 - 2000"/>
    <s v="Yes"/>
    <s v="Homemade"/>
    <s v="Yes"/>
    <n v="1500"/>
  </r>
  <r>
    <s v="K Somasundaram "/>
    <s v="Male"/>
    <x v="0"/>
    <x v="1"/>
    <s v="Family Outing"/>
    <s v="South indian,North indian "/>
    <x v="0"/>
    <s v="1001 - 2000"/>
    <s v="Yes"/>
    <s v="Homemade"/>
    <s v="Not sure"/>
    <n v="1500"/>
  </r>
  <r>
    <s v="Arti Tekchandani "/>
    <s v="Female"/>
    <x v="0"/>
    <x v="1"/>
    <s v="Family Outing"/>
    <s v="North/South Indian"/>
    <x v="0"/>
    <s v="2001 - 3000"/>
    <s v="No"/>
    <s v="Homemade"/>
    <s v="No"/>
    <n v="2500"/>
  </r>
  <r>
    <s v="Omprakash Tekchandani "/>
    <s v="Male"/>
    <x v="0"/>
    <x v="1"/>
    <s v="Family Outing, Business Meetings"/>
    <s v="North/South Indian"/>
    <x v="0"/>
    <s v="3001 - 4000"/>
    <s v="No"/>
    <s v="Homemade"/>
    <s v="No"/>
    <n v="3500"/>
  </r>
  <r>
    <s v="Dhiren Tekchandani "/>
    <s v="Male"/>
    <x v="3"/>
    <x v="1"/>
    <s v="Family Outing"/>
    <s v="South indian,North indian "/>
    <x v="0"/>
    <s v="1001 - 2000"/>
    <s v="No"/>
    <s v="Homemade"/>
    <s v="No"/>
    <n v="1500"/>
  </r>
  <r>
    <s v="MK"/>
    <s v="Male"/>
    <x v="4"/>
    <x v="2"/>
    <s v="Family Outing, Family Functions / Outing with Friends"/>
    <s v="North Indian"/>
    <x v="0"/>
    <s v="0 - 500"/>
    <s v="No"/>
    <s v="Homemade"/>
    <s v="Not sure"/>
    <n v="250"/>
  </r>
  <r>
    <s v="Salochana"/>
    <s v="Female"/>
    <x v="4"/>
    <x v="2"/>
    <s v="Family Outing, Family Functions / Outing with Friends"/>
    <s v="North Indian"/>
    <x v="0"/>
    <s v="0 - 500"/>
    <s v="No"/>
    <s v="Homemade"/>
    <s v="Not sure"/>
    <n v="250"/>
  </r>
  <r>
    <s v="Kavin"/>
    <s v="Male"/>
    <x v="3"/>
    <x v="1"/>
    <s v="Family Outing, Family Functions / Outing with Friends"/>
    <s v="North Indian, Street Food"/>
    <x v="2"/>
    <s v="3001 - 4000"/>
    <s v="No"/>
    <s v="Like both"/>
    <s v="No"/>
    <n v="3500"/>
  </r>
  <r>
    <s v="Deepika"/>
    <s v="Female"/>
    <x v="0"/>
    <x v="1"/>
    <s v="Family Outing, Business Meetings, Family Functions / Outing with Friends"/>
    <s v="North Indian"/>
    <x v="0"/>
    <s v="3001 - 4000"/>
    <s v="Yes"/>
    <s v="Homemade"/>
    <s v="Not sure"/>
    <n v="3500"/>
  </r>
  <r>
    <s v="Sandeep"/>
    <s v="Male"/>
    <x v="0"/>
    <x v="0"/>
    <s v="Family Outing, Business Meetings, Family Functions / Outing with Friends"/>
    <s v="North Indian"/>
    <x v="0"/>
    <s v="4001 - 6000"/>
    <s v="No"/>
    <s v="Homemade "/>
    <s v="Not sure"/>
    <n v="5000"/>
  </r>
  <r>
    <s v="Mohit"/>
    <s v="Male"/>
    <x v="0"/>
    <x v="0"/>
    <s v="Family Outing, Business Meetings, Family Functions / Outing with Friends"/>
    <s v="North Indian, Street Food"/>
    <x v="1"/>
    <s v="3001 - 4000"/>
    <s v="Yes"/>
    <s v="Like both"/>
    <s v="No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19947-B7BB-4E9F-98D7-18B7AD12BEEC}" name="PivotTable61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Food Source">
  <location ref="A16:B2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m="1"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" fld="0" subtotal="count" baseField="0" baseItem="0"/>
  </dataFields>
  <formats count="2">
    <format dxfId="19">
      <pivotArea field="6" type="button" dataOnly="0" labelOnly="1" outline="0" axis="axisRow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A16D5-E05C-40A9-BF3E-FAA6B4D22704}" name="PivotTable60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 Group / Frequency of eating out">
  <location ref="M3:N16" firstHeaderRow="1" firstDataRow="1" firstDataCol="1"/>
  <pivotFields count="12">
    <pivotField dataField="1"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13">
    <i>
      <x/>
    </i>
    <i r="1">
      <x v="1"/>
    </i>
    <i>
      <x v="1"/>
    </i>
    <i r="1">
      <x v="1"/>
    </i>
    <i>
      <x v="2"/>
    </i>
    <i r="1">
      <x/>
    </i>
    <i r="1">
      <x v="1"/>
    </i>
    <i r="1">
      <x v="2"/>
    </i>
    <i>
      <x v="3"/>
    </i>
    <i r="1">
      <x v="1"/>
    </i>
    <i>
      <x v="4"/>
    </i>
    <i r="1">
      <x/>
    </i>
    <i t="grand">
      <x/>
    </i>
  </rowItems>
  <colItems count="1">
    <i/>
  </colItems>
  <dataFields count="1">
    <dataField name="Count" fld="0" subtotal="count" baseField="0" baseItem="0"/>
  </dataFields>
  <formats count="2">
    <format dxfId="26">
      <pivotArea field="2" type="button" dataOnly="0" labelOnly="1" outline="0" axis="axisRow" fieldPosition="0"/>
    </format>
    <format dxfId="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63049-CEE6-48D6-BCAE-71C4CFBAE118}" name="PivotTable58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ealth Concern / Frequency of eating out">
  <location ref="G3:H11" firstHeaderRow="1" firstDataRow="1" firstDataCol="1"/>
  <pivotFields count="1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5">
        <item m="1" x="2"/>
        <item x="1"/>
        <item m="1" x="3"/>
        <item x="0"/>
        <item t="default"/>
      </items>
    </pivotField>
    <pivotField showAll="0"/>
    <pivotField showAll="0"/>
  </pivotFields>
  <rowFields count="2">
    <field x="8"/>
    <field x="3"/>
  </rowFields>
  <rowItems count="8">
    <i>
      <x v="1"/>
    </i>
    <i r="1">
      <x/>
    </i>
    <i r="1">
      <x v="1"/>
    </i>
    <i r="1">
      <x v="2"/>
    </i>
    <i>
      <x v="3"/>
    </i>
    <i r="1">
      <x v="1"/>
    </i>
    <i r="1">
      <x v="2"/>
    </i>
    <i t="grand">
      <x/>
    </i>
  </rowItems>
  <colItems count="1">
    <i/>
  </colItems>
  <dataFields count="1">
    <dataField name="Count" fld="8" subtotal="count" baseField="0" baseItem="0"/>
  </dataFields>
  <formats count="4">
    <format dxfId="10">
      <pivotArea field="8" type="button" dataOnly="0" labelOnly="1" outline="0" axis="axisRow" fieldPosition="0"/>
    </format>
    <format dxfId="9">
      <pivotArea dataOnly="0" labelOnly="1" outline="0" axis="axisValues" fieldPosition="0"/>
    </format>
    <format dxfId="5">
      <pivotArea collapsedLevelsAreSubtotals="1" fieldPosition="0">
        <references count="1">
          <reference field="8" count="1">
            <x v="1"/>
          </reference>
        </references>
      </pivotArea>
    </format>
    <format dxfId="4">
      <pivotArea collapsedLevelsAreSubtotals="1" fieldPosition="0">
        <references count="1">
          <reference field="8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B3BE6-2FED-4FBC-8ECF-6DF26047098D}" name="PivotTable57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ood Preference">
  <location ref="D3:E12" firstHeaderRow="1" firstDataRow="1" firstDataCol="1"/>
  <pivotFields count="11">
    <pivotField showAll="0"/>
    <pivotField showAll="0"/>
    <pivotField showAll="0"/>
    <pivotField showAll="0"/>
    <pivotField showAll="0"/>
    <pivotField axis="axisRow" dataField="1" showAll="0">
      <items count="9">
        <item x="2"/>
        <item x="0"/>
        <item x="1"/>
        <item x="7"/>
        <item x="6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" fld="5" subtotal="count" baseField="0" baseItem="0"/>
  </dataFields>
  <formats count="2">
    <format dxfId="13">
      <pivotArea field="5" type="button" dataOnly="0" labelOnly="1" outline="0" axis="axisRow" fieldPosition="0"/>
    </format>
    <format dxfId="12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CC1E4-2659-45E7-A3A6-27F989DE040A}" name="PivotTable56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requency">
  <location ref="A3:B7" firstHeaderRow="1" firstDataRow="1" firstDataCol="1"/>
  <pivotFields count="11"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3" subtotal="count" baseField="0" baseItem="0"/>
  </dataFields>
  <formats count="8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6">
      <pivotArea field="3" type="button" dataOnly="0" labelOnly="1" outline="0" axis="axisRow" fieldPosition="0"/>
    </format>
    <format dxfId="15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1" headerRowDxfId="36" totalsRowDxfId="35">
  <autoFilter ref="A1:L21" xr:uid="{00000000-000C-0000-FFFF-FFFF00000000}"/>
  <tableColumns count="12">
    <tableColumn id="2" xr3:uid="{00000000-0010-0000-0000-000002000000}" name="Name" dataDxfId="47"/>
    <tableColumn id="3" xr3:uid="{00000000-0010-0000-0000-000003000000}" name="Gender" dataDxfId="46"/>
    <tableColumn id="4" xr3:uid="{00000000-0010-0000-0000-000004000000}" name="Age Group (years)" dataDxfId="45"/>
    <tableColumn id="5" xr3:uid="{00000000-0010-0000-0000-000005000000}" name="Frequency of eating out (in a month)" dataDxfId="44"/>
    <tableColumn id="6" xr3:uid="{00000000-0010-0000-0000-000006000000}" name="Reason for eating out" dataDxfId="43"/>
    <tableColumn id="7" xr3:uid="{00000000-0010-0000-0000-000007000000}" name="Type of Food usually consumed (e.g. North / South Indian, Chinese, Street food etc.)" dataDxfId="42"/>
    <tableColumn id="8" xr3:uid="{00000000-0010-0000-0000-000008000000}" name="Food Source" dataDxfId="41"/>
    <tableColumn id="9" xr3:uid="{00000000-0010-0000-0000-000009000000}" name="Monthly Spending on eating out (INR)" dataDxfId="40"/>
    <tableColumn id="10" xr3:uid="{00000000-0010-0000-0000-00000A000000}" name="Health Concerns of Eating out" dataDxfId="39"/>
    <tableColumn id="11" xr3:uid="{00000000-0010-0000-0000-00000B000000}" name="Liking - Homemade vs Outside Food" dataDxfId="38"/>
    <tableColumn id="12" xr3:uid="{00000000-0010-0000-0000-00000C000000}" name="Do you want to change your habit of eating out?" dataDxfId="37"/>
    <tableColumn id="1" xr3:uid="{2F92811A-AF5B-45BB-9F9B-7035738C074D}" name="Average Spending" dataDxfId="28" totalsRowDxfId="27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zoomScale="80" zoomScaleNormal="80" workbookViewId="0">
      <pane ySplit="1" topLeftCell="A2" activePane="bottomLeft" state="frozen"/>
      <selection pane="bottomLeft" activeCell="G20" sqref="G20"/>
    </sheetView>
  </sheetViews>
  <sheetFormatPr defaultColWidth="12.6328125" defaultRowHeight="15.75" customHeight="1" x14ac:dyDescent="0.25"/>
  <cols>
    <col min="1" max="3" width="18.90625" customWidth="1"/>
    <col min="4" max="4" width="30.7265625" customWidth="1"/>
    <col min="5" max="5" width="60.1796875" bestFit="1" customWidth="1"/>
    <col min="6" max="6" width="37.6328125" customWidth="1"/>
    <col min="7" max="7" width="23.90625" bestFit="1" customWidth="1"/>
    <col min="8" max="8" width="31.7265625" customWidth="1"/>
    <col min="9" max="9" width="27" customWidth="1"/>
    <col min="10" max="10" width="34.08984375" customWidth="1"/>
    <col min="11" max="11" width="37.6328125" customWidth="1"/>
    <col min="12" max="17" width="18.90625" customWidth="1"/>
  </cols>
  <sheetData>
    <row r="1" spans="1:12" s="2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</v>
      </c>
      <c r="H1" s="1" t="s">
        <v>6</v>
      </c>
      <c r="I1" s="1" t="s">
        <v>7</v>
      </c>
      <c r="J1" s="1" t="s">
        <v>66</v>
      </c>
      <c r="K1" s="1" t="s">
        <v>8</v>
      </c>
      <c r="L1" s="15" t="s">
        <v>74</v>
      </c>
    </row>
    <row r="2" spans="1:12" s="2" customFormat="1" ht="15.75" customHeight="1" x14ac:dyDescent="0.25">
      <c r="A2" s="3" t="s">
        <v>9</v>
      </c>
      <c r="B2" s="3" t="s">
        <v>10</v>
      </c>
      <c r="C2" s="3" t="s">
        <v>11</v>
      </c>
      <c r="D2" s="3" t="s">
        <v>57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35</v>
      </c>
      <c r="J2" s="3" t="s">
        <v>16</v>
      </c>
      <c r="K2" s="3" t="s">
        <v>35</v>
      </c>
      <c r="L2" s="14">
        <v>3500</v>
      </c>
    </row>
    <row r="3" spans="1:12" s="2" customFormat="1" ht="15.75" customHeight="1" x14ac:dyDescent="0.25">
      <c r="A3" s="3" t="s">
        <v>18</v>
      </c>
      <c r="B3" s="3" t="s">
        <v>10</v>
      </c>
      <c r="C3" s="3" t="s">
        <v>19</v>
      </c>
      <c r="D3" s="3" t="s">
        <v>59</v>
      </c>
      <c r="E3" s="3" t="s">
        <v>20</v>
      </c>
      <c r="F3" s="3" t="s">
        <v>13</v>
      </c>
      <c r="G3" s="3" t="s">
        <v>14</v>
      </c>
      <c r="H3" s="3" t="s">
        <v>21</v>
      </c>
      <c r="I3" s="3" t="s">
        <v>22</v>
      </c>
      <c r="J3" s="3" t="s">
        <v>67</v>
      </c>
      <c r="K3" s="3" t="s">
        <v>22</v>
      </c>
      <c r="L3" s="16">
        <v>1500</v>
      </c>
    </row>
    <row r="4" spans="1:12" s="2" customFormat="1" ht="15.75" customHeight="1" x14ac:dyDescent="0.25">
      <c r="A4" s="3" t="s">
        <v>23</v>
      </c>
      <c r="B4" s="3" t="s">
        <v>24</v>
      </c>
      <c r="C4" s="3" t="s">
        <v>25</v>
      </c>
      <c r="D4" s="3" t="s">
        <v>59</v>
      </c>
      <c r="E4" s="3" t="s">
        <v>20</v>
      </c>
      <c r="F4" s="3" t="s">
        <v>26</v>
      </c>
      <c r="G4" s="3" t="s">
        <v>14</v>
      </c>
      <c r="H4" s="3" t="s">
        <v>21</v>
      </c>
      <c r="I4" s="3" t="s">
        <v>22</v>
      </c>
      <c r="J4" s="3" t="s">
        <v>67</v>
      </c>
      <c r="K4" s="3" t="s">
        <v>22</v>
      </c>
      <c r="L4" s="16">
        <v>1500</v>
      </c>
    </row>
    <row r="5" spans="1:12" s="2" customFormat="1" ht="15.75" customHeight="1" x14ac:dyDescent="0.25">
      <c r="A5" s="3" t="s">
        <v>61</v>
      </c>
      <c r="B5" s="3" t="s">
        <v>24</v>
      </c>
      <c r="C5" s="3" t="s">
        <v>11</v>
      </c>
      <c r="D5" s="3" t="s">
        <v>59</v>
      </c>
      <c r="E5" s="3" t="s">
        <v>20</v>
      </c>
      <c r="F5" s="3" t="s">
        <v>27</v>
      </c>
      <c r="G5" s="3" t="s">
        <v>14</v>
      </c>
      <c r="H5" s="3" t="s">
        <v>21</v>
      </c>
      <c r="I5" s="3" t="s">
        <v>22</v>
      </c>
      <c r="J5" s="3" t="s">
        <v>50</v>
      </c>
      <c r="K5" s="3" t="s">
        <v>17</v>
      </c>
      <c r="L5" s="16">
        <v>1500</v>
      </c>
    </row>
    <row r="6" spans="1:12" s="2" customFormat="1" ht="15.75" customHeight="1" x14ac:dyDescent="0.25">
      <c r="A6" s="3" t="s">
        <v>29</v>
      </c>
      <c r="B6" s="3" t="s">
        <v>24</v>
      </c>
      <c r="C6" s="3" t="s">
        <v>11</v>
      </c>
      <c r="D6" s="3" t="s">
        <v>60</v>
      </c>
      <c r="E6" s="3" t="s">
        <v>20</v>
      </c>
      <c r="F6" s="3" t="s">
        <v>62</v>
      </c>
      <c r="G6" s="3" t="s">
        <v>14</v>
      </c>
      <c r="H6" s="3" t="s">
        <v>53</v>
      </c>
      <c r="I6" s="3" t="s">
        <v>22</v>
      </c>
      <c r="J6" s="3" t="s">
        <v>31</v>
      </c>
      <c r="K6" s="3" t="s">
        <v>17</v>
      </c>
      <c r="L6" s="2">
        <v>2500</v>
      </c>
    </row>
    <row r="7" spans="1:12" s="2" customFormat="1" ht="15.75" customHeight="1" x14ac:dyDescent="0.25">
      <c r="A7" s="3" t="s">
        <v>30</v>
      </c>
      <c r="B7" s="3" t="s">
        <v>24</v>
      </c>
      <c r="C7" s="3" t="s">
        <v>11</v>
      </c>
      <c r="D7" s="3" t="s">
        <v>60</v>
      </c>
      <c r="E7" s="3" t="s">
        <v>20</v>
      </c>
      <c r="F7" s="3" t="s">
        <v>13</v>
      </c>
      <c r="G7" s="3" t="s">
        <v>14</v>
      </c>
      <c r="H7" s="3" t="s">
        <v>53</v>
      </c>
      <c r="I7" s="3" t="s">
        <v>22</v>
      </c>
      <c r="J7" s="3" t="s">
        <v>31</v>
      </c>
      <c r="K7" s="3" t="s">
        <v>22</v>
      </c>
      <c r="L7" s="2">
        <v>2500</v>
      </c>
    </row>
    <row r="8" spans="1:12" s="2" customFormat="1" ht="15.75" customHeight="1" x14ac:dyDescent="0.25">
      <c r="A8" s="3" t="s">
        <v>63</v>
      </c>
      <c r="B8" s="3" t="s">
        <v>10</v>
      </c>
      <c r="C8" s="3" t="s">
        <v>11</v>
      </c>
      <c r="D8" s="3" t="s">
        <v>57</v>
      </c>
      <c r="E8" s="3" t="s">
        <v>52</v>
      </c>
      <c r="F8" s="3" t="s">
        <v>48</v>
      </c>
      <c r="G8" s="3" t="s">
        <v>58</v>
      </c>
      <c r="H8" s="3" t="s">
        <v>15</v>
      </c>
      <c r="I8" s="3" t="s">
        <v>35</v>
      </c>
      <c r="J8" s="3" t="s">
        <v>50</v>
      </c>
      <c r="K8" s="3" t="s">
        <v>22</v>
      </c>
      <c r="L8" s="16">
        <v>3500</v>
      </c>
    </row>
    <row r="9" spans="1:12" s="2" customFormat="1" ht="15.75" customHeight="1" x14ac:dyDescent="0.25">
      <c r="A9" s="3" t="s">
        <v>64</v>
      </c>
      <c r="B9" s="3" t="s">
        <v>24</v>
      </c>
      <c r="C9" s="3" t="s">
        <v>11</v>
      </c>
      <c r="D9" s="4" t="s">
        <v>59</v>
      </c>
      <c r="E9" s="4" t="s">
        <v>20</v>
      </c>
      <c r="F9" s="3" t="s">
        <v>48</v>
      </c>
      <c r="G9" s="3" t="s">
        <v>58</v>
      </c>
      <c r="H9" s="4" t="s">
        <v>21</v>
      </c>
      <c r="I9" s="3" t="s">
        <v>35</v>
      </c>
      <c r="J9" s="3" t="s">
        <v>50</v>
      </c>
      <c r="K9" s="3" t="s">
        <v>22</v>
      </c>
      <c r="L9" s="16">
        <v>1500</v>
      </c>
    </row>
    <row r="10" spans="1:12" s="2" customFormat="1" ht="15.75" customHeight="1" x14ac:dyDescent="0.25">
      <c r="A10" s="3" t="s">
        <v>65</v>
      </c>
      <c r="B10" s="3" t="s">
        <v>24</v>
      </c>
      <c r="C10" s="3" t="s">
        <v>11</v>
      </c>
      <c r="D10" s="4" t="s">
        <v>59</v>
      </c>
      <c r="E10" s="4" t="s">
        <v>20</v>
      </c>
      <c r="F10" s="3" t="s">
        <v>48</v>
      </c>
      <c r="G10" s="3" t="s">
        <v>58</v>
      </c>
      <c r="H10" s="4" t="s">
        <v>21</v>
      </c>
      <c r="I10" s="3" t="s">
        <v>35</v>
      </c>
      <c r="J10" s="3" t="s">
        <v>50</v>
      </c>
      <c r="K10" s="3" t="s">
        <v>22</v>
      </c>
      <c r="L10" s="16">
        <v>1500</v>
      </c>
    </row>
    <row r="11" spans="1:12" s="2" customFormat="1" ht="15.75" customHeight="1" x14ac:dyDescent="0.25">
      <c r="A11" s="3" t="s">
        <v>32</v>
      </c>
      <c r="B11" s="3" t="s">
        <v>24</v>
      </c>
      <c r="C11" s="3" t="s">
        <v>11</v>
      </c>
      <c r="D11" s="3" t="s">
        <v>59</v>
      </c>
      <c r="E11" s="3" t="s">
        <v>20</v>
      </c>
      <c r="F11" s="3" t="s">
        <v>33</v>
      </c>
      <c r="G11" s="3" t="s">
        <v>14</v>
      </c>
      <c r="H11" s="3" t="s">
        <v>21</v>
      </c>
      <c r="I11" s="3" t="s">
        <v>35</v>
      </c>
      <c r="J11" s="3" t="s">
        <v>34</v>
      </c>
      <c r="K11" s="3" t="s">
        <v>35</v>
      </c>
      <c r="L11" s="16">
        <v>1500</v>
      </c>
    </row>
    <row r="12" spans="1:12" s="2" customFormat="1" ht="15.75" customHeight="1" x14ac:dyDescent="0.25">
      <c r="A12" s="3" t="s">
        <v>36</v>
      </c>
      <c r="B12" s="3" t="s">
        <v>10</v>
      </c>
      <c r="C12" s="3" t="s">
        <v>11</v>
      </c>
      <c r="D12" s="3" t="s">
        <v>59</v>
      </c>
      <c r="E12" s="3" t="s">
        <v>20</v>
      </c>
      <c r="F12" s="3" t="s">
        <v>37</v>
      </c>
      <c r="G12" s="3" t="s">
        <v>14</v>
      </c>
      <c r="H12" s="3" t="s">
        <v>21</v>
      </c>
      <c r="I12" s="3" t="s">
        <v>35</v>
      </c>
      <c r="J12" s="3" t="s">
        <v>34</v>
      </c>
      <c r="K12" s="3" t="s">
        <v>17</v>
      </c>
      <c r="L12" s="16">
        <v>1500</v>
      </c>
    </row>
    <row r="13" spans="1:12" s="2" customFormat="1" ht="15.75" customHeight="1" x14ac:dyDescent="0.25">
      <c r="A13" s="3" t="s">
        <v>38</v>
      </c>
      <c r="B13" s="3" t="s">
        <v>24</v>
      </c>
      <c r="C13" s="3" t="s">
        <v>11</v>
      </c>
      <c r="D13" s="3" t="s">
        <v>59</v>
      </c>
      <c r="E13" s="3" t="s">
        <v>20</v>
      </c>
      <c r="F13" s="3" t="s">
        <v>39</v>
      </c>
      <c r="G13" s="3" t="s">
        <v>14</v>
      </c>
      <c r="H13" s="3" t="s">
        <v>53</v>
      </c>
      <c r="I13" s="3" t="s">
        <v>22</v>
      </c>
      <c r="J13" s="3" t="s">
        <v>34</v>
      </c>
      <c r="K13" s="3" t="s">
        <v>22</v>
      </c>
      <c r="L13" s="2">
        <v>2500</v>
      </c>
    </row>
    <row r="14" spans="1:12" s="2" customFormat="1" ht="15.75" customHeight="1" x14ac:dyDescent="0.25">
      <c r="A14" s="3" t="s">
        <v>40</v>
      </c>
      <c r="B14" s="3" t="s">
        <v>10</v>
      </c>
      <c r="C14" s="3" t="s">
        <v>11</v>
      </c>
      <c r="D14" s="3" t="s">
        <v>59</v>
      </c>
      <c r="E14" s="3" t="s">
        <v>12</v>
      </c>
      <c r="F14" s="3" t="s">
        <v>39</v>
      </c>
      <c r="G14" s="3" t="s">
        <v>14</v>
      </c>
      <c r="H14" s="3" t="s">
        <v>15</v>
      </c>
      <c r="I14" s="3" t="s">
        <v>22</v>
      </c>
      <c r="J14" s="3" t="s">
        <v>34</v>
      </c>
      <c r="K14" s="3" t="s">
        <v>22</v>
      </c>
      <c r="L14" s="14">
        <v>3500</v>
      </c>
    </row>
    <row r="15" spans="1:12" s="2" customFormat="1" ht="15.75" customHeight="1" x14ac:dyDescent="0.25">
      <c r="A15" s="3" t="s">
        <v>41</v>
      </c>
      <c r="B15" s="3" t="s">
        <v>10</v>
      </c>
      <c r="C15" s="3" t="s">
        <v>42</v>
      </c>
      <c r="D15" s="3" t="s">
        <v>59</v>
      </c>
      <c r="E15" s="3" t="s">
        <v>20</v>
      </c>
      <c r="F15" s="3" t="s">
        <v>37</v>
      </c>
      <c r="G15" s="3" t="s">
        <v>14</v>
      </c>
      <c r="H15" s="3" t="s">
        <v>21</v>
      </c>
      <c r="I15" s="3" t="s">
        <v>22</v>
      </c>
      <c r="J15" s="3" t="s">
        <v>34</v>
      </c>
      <c r="K15" s="3" t="s">
        <v>22</v>
      </c>
      <c r="L15" s="16">
        <v>1500</v>
      </c>
    </row>
    <row r="16" spans="1:12" s="2" customFormat="1" ht="15.75" customHeight="1" x14ac:dyDescent="0.25">
      <c r="A16" s="3" t="s">
        <v>43</v>
      </c>
      <c r="B16" s="3" t="s">
        <v>10</v>
      </c>
      <c r="C16" s="3" t="s">
        <v>44</v>
      </c>
      <c r="D16" s="3" t="s">
        <v>60</v>
      </c>
      <c r="E16" s="3" t="s">
        <v>45</v>
      </c>
      <c r="F16" s="3" t="s">
        <v>13</v>
      </c>
      <c r="G16" s="3" t="s">
        <v>14</v>
      </c>
      <c r="H16" s="3" t="s">
        <v>28</v>
      </c>
      <c r="I16" s="3" t="s">
        <v>22</v>
      </c>
      <c r="J16" s="3" t="s">
        <v>34</v>
      </c>
      <c r="K16" s="3" t="s">
        <v>17</v>
      </c>
      <c r="L16" s="2">
        <v>250</v>
      </c>
    </row>
    <row r="17" spans="1:12" s="2" customFormat="1" ht="15.75" customHeight="1" x14ac:dyDescent="0.25">
      <c r="A17" s="3" t="s">
        <v>46</v>
      </c>
      <c r="B17" s="3" t="s">
        <v>24</v>
      </c>
      <c r="C17" s="3" t="s">
        <v>44</v>
      </c>
      <c r="D17" s="3" t="s">
        <v>60</v>
      </c>
      <c r="E17" s="3" t="s">
        <v>45</v>
      </c>
      <c r="F17" s="3" t="s">
        <v>13</v>
      </c>
      <c r="G17" s="3" t="s">
        <v>14</v>
      </c>
      <c r="H17" s="3" t="s">
        <v>28</v>
      </c>
      <c r="I17" s="3" t="s">
        <v>22</v>
      </c>
      <c r="J17" s="3" t="s">
        <v>34</v>
      </c>
      <c r="K17" s="3" t="s">
        <v>17</v>
      </c>
      <c r="L17" s="2">
        <v>250</v>
      </c>
    </row>
    <row r="18" spans="1:12" s="2" customFormat="1" ht="15.75" customHeight="1" x14ac:dyDescent="0.25">
      <c r="A18" s="3" t="s">
        <v>47</v>
      </c>
      <c r="B18" s="3" t="s">
        <v>10</v>
      </c>
      <c r="C18" s="3" t="s">
        <v>42</v>
      </c>
      <c r="D18" s="3" t="s">
        <v>59</v>
      </c>
      <c r="E18" s="3" t="s">
        <v>45</v>
      </c>
      <c r="F18" s="3" t="s">
        <v>48</v>
      </c>
      <c r="G18" s="3" t="s">
        <v>49</v>
      </c>
      <c r="H18" s="3" t="s">
        <v>15</v>
      </c>
      <c r="I18" s="3" t="s">
        <v>22</v>
      </c>
      <c r="J18" s="3" t="s">
        <v>50</v>
      </c>
      <c r="K18" s="3" t="s">
        <v>22</v>
      </c>
      <c r="L18" s="14">
        <v>3500</v>
      </c>
    </row>
    <row r="19" spans="1:12" s="2" customFormat="1" ht="15.75" customHeight="1" x14ac:dyDescent="0.25">
      <c r="A19" s="3" t="s">
        <v>51</v>
      </c>
      <c r="B19" s="3" t="s">
        <v>24</v>
      </c>
      <c r="C19" s="3" t="s">
        <v>11</v>
      </c>
      <c r="D19" s="3" t="s">
        <v>59</v>
      </c>
      <c r="E19" s="3" t="s">
        <v>52</v>
      </c>
      <c r="F19" s="3" t="s">
        <v>13</v>
      </c>
      <c r="G19" s="3" t="s">
        <v>14</v>
      </c>
      <c r="H19" s="3" t="s">
        <v>15</v>
      </c>
      <c r="I19" s="3" t="s">
        <v>35</v>
      </c>
      <c r="J19" s="3" t="s">
        <v>34</v>
      </c>
      <c r="K19" s="3" t="s">
        <v>17</v>
      </c>
      <c r="L19" s="14">
        <v>3500</v>
      </c>
    </row>
    <row r="20" spans="1:12" s="2" customFormat="1" ht="15.75" customHeight="1" x14ac:dyDescent="0.25">
      <c r="A20" s="3" t="s">
        <v>54</v>
      </c>
      <c r="B20" s="3" t="s">
        <v>10</v>
      </c>
      <c r="C20" s="3" t="s">
        <v>11</v>
      </c>
      <c r="D20" s="3" t="s">
        <v>57</v>
      </c>
      <c r="E20" s="3" t="s">
        <v>52</v>
      </c>
      <c r="F20" s="3" t="s">
        <v>13</v>
      </c>
      <c r="G20" s="3" t="s">
        <v>14</v>
      </c>
      <c r="H20" s="3" t="s">
        <v>55</v>
      </c>
      <c r="I20" s="3" t="s">
        <v>22</v>
      </c>
      <c r="J20" s="3" t="s">
        <v>31</v>
      </c>
      <c r="K20" s="3" t="s">
        <v>17</v>
      </c>
      <c r="L20" s="2">
        <v>5000</v>
      </c>
    </row>
    <row r="21" spans="1:12" s="2" customFormat="1" ht="15.75" customHeight="1" x14ac:dyDescent="0.25">
      <c r="A21" s="3" t="s">
        <v>56</v>
      </c>
      <c r="B21" s="3" t="s">
        <v>10</v>
      </c>
      <c r="C21" s="3" t="s">
        <v>11</v>
      </c>
      <c r="D21" s="3" t="s">
        <v>57</v>
      </c>
      <c r="E21" s="3" t="s">
        <v>52</v>
      </c>
      <c r="F21" s="3" t="s">
        <v>48</v>
      </c>
      <c r="G21" s="3" t="s">
        <v>58</v>
      </c>
      <c r="H21" s="3" t="s">
        <v>15</v>
      </c>
      <c r="I21" s="3" t="s">
        <v>35</v>
      </c>
      <c r="J21" s="3" t="s">
        <v>50</v>
      </c>
      <c r="K21" s="3" t="s">
        <v>22</v>
      </c>
      <c r="L21" s="14">
        <v>3500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57AF-08D7-4BE7-B4EC-7A547E0DF409}">
  <dimension ref="A2:N20"/>
  <sheetViews>
    <sheetView tabSelected="1" zoomScale="81" zoomScaleNormal="80" workbookViewId="0">
      <selection activeCell="J17" sqref="J17"/>
    </sheetView>
  </sheetViews>
  <sheetFormatPr defaultRowHeight="12.5" x14ac:dyDescent="0.25"/>
  <cols>
    <col min="1" max="1" width="23.90625" bestFit="1" customWidth="1"/>
    <col min="2" max="2" width="12.7265625" bestFit="1" customWidth="1"/>
    <col min="4" max="4" width="21.26953125" bestFit="1" customWidth="1"/>
    <col min="5" max="5" width="5.453125" bestFit="1" customWidth="1"/>
    <col min="7" max="7" width="38.90625" customWidth="1"/>
    <col min="8" max="8" width="6.26953125" bestFit="1" customWidth="1"/>
    <col min="10" max="10" width="29.26953125" bestFit="1" customWidth="1"/>
    <col min="13" max="13" width="35.1796875" bestFit="1" customWidth="1"/>
    <col min="14" max="14" width="6.26953125" bestFit="1" customWidth="1"/>
  </cols>
  <sheetData>
    <row r="2" spans="1:14" ht="13" x14ac:dyDescent="0.3">
      <c r="A2" s="11" t="s">
        <v>69</v>
      </c>
      <c r="B2" s="11"/>
      <c r="D2" s="11" t="s">
        <v>72</v>
      </c>
      <c r="E2" s="11"/>
      <c r="G2" s="11" t="s">
        <v>73</v>
      </c>
      <c r="H2" s="11"/>
      <c r="J2" s="17" t="s">
        <v>75</v>
      </c>
      <c r="K2" s="17">
        <f>AVERAGE('Form Responses 1'!L2:L21)</f>
        <v>2300</v>
      </c>
    </row>
    <row r="3" spans="1:14" ht="13" x14ac:dyDescent="0.3">
      <c r="A3" s="21" t="s">
        <v>70</v>
      </c>
      <c r="B3" s="22" t="s">
        <v>71</v>
      </c>
      <c r="D3" s="19" t="s">
        <v>72</v>
      </c>
      <c r="E3" s="20" t="s">
        <v>71</v>
      </c>
      <c r="G3" s="19" t="s">
        <v>78</v>
      </c>
      <c r="H3" s="20" t="s">
        <v>71</v>
      </c>
      <c r="M3" s="19" t="s">
        <v>76</v>
      </c>
      <c r="N3" s="20" t="s">
        <v>71</v>
      </c>
    </row>
    <row r="4" spans="1:14" ht="13" x14ac:dyDescent="0.3">
      <c r="A4" s="12" t="s">
        <v>60</v>
      </c>
      <c r="B4" s="13">
        <v>4</v>
      </c>
      <c r="D4" s="5" t="s">
        <v>27</v>
      </c>
      <c r="E4" s="6">
        <v>1</v>
      </c>
      <c r="G4" s="5" t="s">
        <v>22</v>
      </c>
      <c r="H4" s="23">
        <v>12</v>
      </c>
      <c r="M4" s="5" t="s">
        <v>25</v>
      </c>
      <c r="N4" s="6">
        <v>1</v>
      </c>
    </row>
    <row r="5" spans="1:14" x14ac:dyDescent="0.25">
      <c r="A5" s="12" t="s">
        <v>59</v>
      </c>
      <c r="B5" s="13">
        <v>12</v>
      </c>
      <c r="D5" s="7" t="s">
        <v>13</v>
      </c>
      <c r="E5" s="8">
        <v>7</v>
      </c>
      <c r="G5" s="18" t="s">
        <v>60</v>
      </c>
      <c r="H5" s="8">
        <v>4</v>
      </c>
      <c r="M5" s="18" t="s">
        <v>59</v>
      </c>
      <c r="N5" s="8">
        <v>1</v>
      </c>
    </row>
    <row r="6" spans="1:14" x14ac:dyDescent="0.25">
      <c r="A6" s="12" t="s">
        <v>57</v>
      </c>
      <c r="B6" s="13">
        <v>4</v>
      </c>
      <c r="D6" s="7" t="s">
        <v>26</v>
      </c>
      <c r="E6" s="8">
        <v>1</v>
      </c>
      <c r="G6" s="18" t="s">
        <v>59</v>
      </c>
      <c r="H6" s="8">
        <v>7</v>
      </c>
      <c r="M6" s="7" t="s">
        <v>42</v>
      </c>
      <c r="N6" s="8">
        <v>2</v>
      </c>
    </row>
    <row r="7" spans="1:14" x14ac:dyDescent="0.25">
      <c r="A7" s="12" t="s">
        <v>68</v>
      </c>
      <c r="B7" s="13">
        <v>20</v>
      </c>
      <c r="D7" s="7" t="s">
        <v>48</v>
      </c>
      <c r="E7" s="8">
        <v>5</v>
      </c>
      <c r="G7" s="18" t="s">
        <v>57</v>
      </c>
      <c r="H7" s="8">
        <v>1</v>
      </c>
      <c r="M7" s="18" t="s">
        <v>59</v>
      </c>
      <c r="N7" s="8">
        <v>2</v>
      </c>
    </row>
    <row r="8" spans="1:14" ht="13" x14ac:dyDescent="0.3">
      <c r="D8" s="7" t="s">
        <v>39</v>
      </c>
      <c r="E8" s="8">
        <v>2</v>
      </c>
      <c r="G8" s="7" t="s">
        <v>35</v>
      </c>
      <c r="H8" s="24">
        <v>8</v>
      </c>
      <c r="M8" s="7" t="s">
        <v>11</v>
      </c>
      <c r="N8" s="8">
        <v>14</v>
      </c>
    </row>
    <row r="9" spans="1:14" x14ac:dyDescent="0.25">
      <c r="D9" s="7" t="s">
        <v>62</v>
      </c>
      <c r="E9" s="8">
        <v>1</v>
      </c>
      <c r="G9" s="18" t="s">
        <v>59</v>
      </c>
      <c r="H9" s="8">
        <v>5</v>
      </c>
      <c r="M9" s="18" t="s">
        <v>60</v>
      </c>
      <c r="N9" s="8">
        <v>2</v>
      </c>
    </row>
    <row r="10" spans="1:14" x14ac:dyDescent="0.25">
      <c r="D10" s="7" t="s">
        <v>33</v>
      </c>
      <c r="E10" s="8">
        <v>1</v>
      </c>
      <c r="G10" s="18" t="s">
        <v>57</v>
      </c>
      <c r="H10" s="8">
        <v>3</v>
      </c>
      <c r="M10" s="18" t="s">
        <v>59</v>
      </c>
      <c r="N10" s="8">
        <v>8</v>
      </c>
    </row>
    <row r="11" spans="1:14" x14ac:dyDescent="0.25">
      <c r="D11" s="7" t="s">
        <v>37</v>
      </c>
      <c r="E11" s="8">
        <v>2</v>
      </c>
      <c r="G11" s="9" t="s">
        <v>68</v>
      </c>
      <c r="H11" s="10">
        <v>20</v>
      </c>
      <c r="M11" s="18" t="s">
        <v>57</v>
      </c>
      <c r="N11" s="8">
        <v>4</v>
      </c>
    </row>
    <row r="12" spans="1:14" x14ac:dyDescent="0.25">
      <c r="D12" s="9" t="s">
        <v>68</v>
      </c>
      <c r="E12" s="10">
        <v>20</v>
      </c>
      <c r="M12" s="7" t="s">
        <v>19</v>
      </c>
      <c r="N12" s="8">
        <v>1</v>
      </c>
    </row>
    <row r="13" spans="1:14" x14ac:dyDescent="0.25">
      <c r="M13" s="18" t="s">
        <v>59</v>
      </c>
      <c r="N13" s="8">
        <v>1</v>
      </c>
    </row>
    <row r="14" spans="1:14" x14ac:dyDescent="0.25">
      <c r="M14" s="7" t="s">
        <v>44</v>
      </c>
      <c r="N14" s="8">
        <v>2</v>
      </c>
    </row>
    <row r="15" spans="1:14" x14ac:dyDescent="0.25">
      <c r="M15" s="18" t="s">
        <v>60</v>
      </c>
      <c r="N15" s="8">
        <v>2</v>
      </c>
    </row>
    <row r="16" spans="1:14" ht="13" x14ac:dyDescent="0.3">
      <c r="A16" s="19" t="s">
        <v>77</v>
      </c>
      <c r="B16" s="20" t="s">
        <v>71</v>
      </c>
      <c r="M16" s="9" t="s">
        <v>68</v>
      </c>
      <c r="N16" s="10">
        <v>20</v>
      </c>
    </row>
    <row r="17" spans="1:2" x14ac:dyDescent="0.25">
      <c r="A17" s="5" t="s">
        <v>14</v>
      </c>
      <c r="B17" s="6">
        <v>15</v>
      </c>
    </row>
    <row r="18" spans="1:2" x14ac:dyDescent="0.25">
      <c r="A18" s="7" t="s">
        <v>49</v>
      </c>
      <c r="B18" s="8">
        <v>1</v>
      </c>
    </row>
    <row r="19" spans="1:2" x14ac:dyDescent="0.25">
      <c r="A19" s="7" t="s">
        <v>58</v>
      </c>
      <c r="B19" s="8">
        <v>4</v>
      </c>
    </row>
    <row r="20" spans="1:2" x14ac:dyDescent="0.25">
      <c r="A20" s="9" t="s">
        <v>68</v>
      </c>
      <c r="B20" s="10">
        <v>20</v>
      </c>
    </row>
  </sheetData>
  <mergeCells count="3">
    <mergeCell ref="A2:B2"/>
    <mergeCell ref="D2:E2"/>
    <mergeCell ref="G2:H2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2025-08-22T16:27:46Z</dcterms:modified>
</cp:coreProperties>
</file>